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00" yWindow="1180" windowWidth="15260" windowHeight="14040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MONTHLY REPORT" sheetId="2" state="visible" r:id="rId2"/>
    <sheet xmlns:r="http://schemas.openxmlformats.org/officeDocument/2006/relationships" name="DAILY REPORT" sheetId="3" state="visible" r:id="rId3"/>
    <sheet xmlns:r="http://schemas.openxmlformats.org/officeDocument/2006/relationships" name="Chargebacks &amp; refunds" sheetId="4" state="hidden" r:id="rId4"/>
    <sheet xmlns:r="http://schemas.openxmlformats.org/officeDocument/2006/relationships" name="Transactions" sheetId="5" state="visible" r:id="rId5"/>
    <sheet xmlns:r="http://schemas.openxmlformats.org/officeDocument/2006/relationships" name="Sheet2" sheetId="6" state="hidden" r:id="rId6"/>
    <sheet xmlns:r="http://schemas.openxmlformats.org/officeDocument/2006/relationships" name="Contract term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4">
    <numFmt numFmtId="164" formatCode="#,##0.00\ &quot;€&quot;"/>
    <numFmt numFmtId="165" formatCode="#,##0.00\ [$EUR]"/>
    <numFmt numFmtId="166" formatCode="_-* #,##0_-;\-* #,##0_-;_-* &quot;-&quot;??_-;_-@_-"/>
    <numFmt numFmtId="167" formatCode="0.0%"/>
    <numFmt numFmtId="168" formatCode="_-[$EUR]\ * #,##0.00_-;\-[$EUR]\ * #,##0.00_-;_-[$EUR]\ * &quot;-&quot;??_-;_-@_-"/>
    <numFmt numFmtId="169" formatCode="[$EUR]\ #,##0.00"/>
    <numFmt numFmtId="170" formatCode="[$EUR]\ #,##0.00;\-[$EUR]\ #,##0.00"/>
    <numFmt numFmtId="171" formatCode="#,##0.00\ [$EUR];\-#,##0.00\ [$EUR]"/>
    <numFmt numFmtId="172" formatCode="#,##0_ ;\-#,##0\ "/>
    <numFmt numFmtId="173" formatCode="_-* #,##0.00_-;\-* #,##0.00_-;_-* &quot;-&quot;??_-;_-@_-"/>
    <numFmt numFmtId="174" formatCode="_-* #,##0.0000_-;\-* #,##0.0000_-;_-* &quot;-&quot;??_-;_-@_-"/>
    <numFmt numFmtId="175" formatCode="yyyy\-mm\-dd;@"/>
    <numFmt numFmtId="176" formatCode="[$-809]dd\ mmmm\ yyyy;@"/>
    <numFmt numFmtId="177" formatCode="_-* #,##0.00\ [$EUR]_-;\-* #,##0.00\ [$EUR]_-;_-* &quot;-&quot;??\ [$EUR]_-;_-@_-"/>
    <numFmt numFmtId="178" formatCode="_-[$EUR]\ * #,##0_-;\-[$EUR]\ * #,##0_-;_-[$EUR]\ * &quot;-&quot;_-;_-@_-"/>
    <numFmt numFmtId="179" formatCode="#,##0.00_ ;\-#,##0.00\ "/>
    <numFmt numFmtId="180" formatCode="#,##0.00\ [$€-803]"/>
    <numFmt numFmtId="181" formatCode="#,##0.00\ [$€-80C]"/>
    <numFmt numFmtId="182" formatCode="[$€-C07]\ #,##0.00"/>
    <numFmt numFmtId="183" formatCode="_-* #,##0.00\ [$€-200C]_-;\-* #,##0.00\ [$€-200C]_-;_-* &quot;-&quot;??\ [$€-200C]_-;_-@_-"/>
    <numFmt numFmtId="184" formatCode="#,##0.00\ [$€-424]"/>
    <numFmt numFmtId="185" formatCode="#,##0.00\ [$€-408]"/>
    <numFmt numFmtId="186" formatCode="0.0000"/>
    <numFmt numFmtId="187" formatCode="_-[$EUR]\ * #,##0.00_-;\-[$EUR]\ * #,##0.00_-;_-[$EUR]\ * &quot;-&quot;_-;_-@_-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0000"/>
      <sz val="11"/>
      <scheme val="minor"/>
    </font>
    <font>
      <name val="Verdana"/>
      <family val="2"/>
      <color theme="1"/>
      <sz val="8"/>
    </font>
    <font>
      <name val="Verdana"/>
      <family val="2"/>
      <b val="1"/>
      <color theme="1"/>
      <sz val="8"/>
    </font>
    <font>
      <name val="Verdana"/>
      <family val="2"/>
      <color theme="1"/>
      <sz val="9"/>
    </font>
    <font>
      <name val="Verdana"/>
      <family val="2"/>
      <b val="1"/>
      <color theme="1"/>
      <sz val="9"/>
    </font>
    <font>
      <name val="Verdana"/>
      <family val="2"/>
      <sz val="9"/>
    </font>
    <font>
      <name val="Verdana"/>
      <family val="2"/>
      <color theme="10"/>
      <sz val="9"/>
      <u val="single"/>
    </font>
    <font>
      <name val="Verdana"/>
      <family val="2"/>
      <b val="1"/>
      <sz val="9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 style="thick">
        <color theme="0" tint="-0.249977111117893"/>
      </left>
      <right style="thick">
        <color theme="0" tint="-0.249977111117893"/>
      </right>
      <top/>
      <bottom style="thick">
        <color theme="0" tint="-0.249977111117893"/>
      </bottom>
      <diagonal/>
    </border>
    <border>
      <left style="thick">
        <color theme="0" tint="-0.249977111117893"/>
      </left>
      <right style="thick">
        <color theme="0" tint="-0.249977111117893"/>
      </right>
      <top style="thick">
        <color theme="0" tint="-0.249977111117893"/>
      </top>
      <bottom style="thick">
        <color theme="0" tint="-0.249977111117893"/>
      </bottom>
      <diagonal/>
    </border>
    <border>
      <left style="thick">
        <color theme="0" tint="-0.249977111117893"/>
      </left>
      <right/>
      <top style="thick">
        <color theme="0" tint="-0.249977111117893"/>
      </top>
      <bottom style="thick">
        <color theme="0" tint="-0.249977111117893"/>
      </bottom>
      <diagonal/>
    </border>
    <border>
      <left/>
      <right/>
      <top style="thick">
        <color theme="0" tint="-0.249977111117893"/>
      </top>
      <bottom style="thick">
        <color theme="0" tint="-0.249977111117893"/>
      </bottom>
      <diagonal/>
    </border>
    <border>
      <left/>
      <right style="thick">
        <color theme="0" tint="-0.249977111117893"/>
      </right>
      <top style="thick">
        <color theme="0" tint="-0.249977111117893"/>
      </top>
      <bottom style="thick">
        <color theme="0" tint="-0.249977111117893"/>
      </bottom>
      <diagonal/>
    </border>
    <border>
      <left/>
      <right/>
      <top style="thick">
        <color theme="0" tint="-0.249977111117893"/>
      </top>
      <bottom/>
      <diagonal/>
    </border>
    <border>
      <left style="thick">
        <color theme="0" tint="-0.249977111117893"/>
      </left>
      <right style="thick">
        <color theme="0" tint="-0.249977111117893"/>
      </right>
      <top style="thick">
        <color theme="0" tint="-0.249977111117893"/>
      </top>
      <bottom/>
      <diagonal/>
    </border>
    <border>
      <left style="thick">
        <color theme="0" tint="-0.249977111117893"/>
      </left>
      <right style="thick">
        <color theme="0" tint="-0.249977111117893"/>
      </right>
      <top/>
      <bottom/>
      <diagonal/>
    </border>
    <border>
      <left/>
      <right style="thick">
        <color theme="0" tint="-0.249977111117893"/>
      </right>
      <top style="thick">
        <color theme="0" tint="-0.249977111117893"/>
      </top>
      <bottom/>
      <diagonal/>
    </border>
    <border>
      <left/>
      <right style="thick">
        <color theme="0" tint="-0.3499862666707358"/>
      </right>
      <top/>
      <bottom/>
      <diagonal/>
    </border>
    <border>
      <left style="thick">
        <color theme="0" tint="-0.249977111117893"/>
      </left>
      <right style="thick">
        <color theme="0" tint="-0.3499862666707358"/>
      </right>
      <top/>
      <bottom/>
      <diagonal/>
    </border>
    <border>
      <left style="thick">
        <color theme="0" tint="-0.249977111117893"/>
      </left>
      <right style="thick">
        <color theme="0" tint="-0.3499862666707358"/>
      </right>
      <top style="thick">
        <color theme="0" tint="-0.249977111117893"/>
      </top>
      <bottom/>
      <diagonal/>
    </border>
    <border>
      <left style="thick">
        <color theme="0" tint="-0.249977111117893"/>
      </left>
      <right style="thick">
        <color theme="0" tint="-0.3499862666707358"/>
      </right>
      <top/>
      <bottom style="thick">
        <color theme="0" tint="-0.3499862666707358"/>
      </bottom>
      <diagonal/>
    </border>
    <border>
      <left/>
      <right style="thick">
        <color theme="0" tint="-0.3499862666707358"/>
      </right>
      <top/>
      <bottom style="thick">
        <color theme="0" tint="-0.3499862666707358"/>
      </bottom>
      <diagonal/>
    </border>
    <border>
      <left style="thick">
        <color theme="0" tint="-0.3499862666707358"/>
      </left>
      <right style="thick">
        <color theme="0" tint="-0.349986266670735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5">
    <xf numFmtId="0" fontId="2" fillId="0" borderId="0"/>
    <xf numFmtId="0" fontId="3" fillId="0" borderId="0"/>
    <xf numFmtId="43" fontId="2" fillId="0" borderId="0"/>
    <xf numFmtId="43" fontId="2" fillId="0" borderId="0"/>
    <xf numFmtId="9" fontId="2" fillId="0" borderId="0"/>
  </cellStyleXfs>
  <cellXfs count="27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22" pivotButton="0" quotePrefix="0" xfId="0"/>
    <xf numFmtId="0" fontId="1" fillId="0" borderId="2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3" pivotButton="0" quotePrefix="0" xfId="0"/>
    <xf numFmtId="0" fontId="0" fillId="0" borderId="10" pivotButton="0" quotePrefix="0" xfId="0"/>
    <xf numFmtId="0" fontId="0" fillId="0" borderId="25" pivotButton="0" quotePrefix="0" xfId="0"/>
    <xf numFmtId="164" fontId="0" fillId="0" borderId="24" pivotButton="0" quotePrefix="0" xfId="0"/>
    <xf numFmtId="10" fontId="0" fillId="0" borderId="24" pivotButton="0" quotePrefix="0" xfId="4"/>
    <xf numFmtId="9" fontId="0" fillId="0" borderId="26" applyAlignment="1" pivotButton="0" quotePrefix="0" xfId="0">
      <alignment horizontal="right" indent="1"/>
    </xf>
    <xf numFmtId="165" fontId="0" fillId="2" borderId="0" pivotButton="0" quotePrefix="0" xfId="0"/>
    <xf numFmtId="0" fontId="4" fillId="0" borderId="12" pivotButton="0" quotePrefix="0" xfId="0"/>
    <xf numFmtId="9" fontId="0" fillId="0" borderId="24" pivotButton="0" quotePrefix="0" xfId="4"/>
    <xf numFmtId="166" fontId="0" fillId="2" borderId="0" pivotButton="0" quotePrefix="0" xfId="3"/>
    <xf numFmtId="167" fontId="0" fillId="2" borderId="0" pivotButton="0" quotePrefix="0" xfId="4"/>
    <xf numFmtId="10" fontId="0" fillId="2" borderId="0" pivotButton="0" quotePrefix="0" xfId="4"/>
    <xf numFmtId="9" fontId="0" fillId="2" borderId="0" pivotButton="0" quotePrefix="0" xfId="4"/>
    <xf numFmtId="10" fontId="0" fillId="2" borderId="0" pivotButton="0" quotePrefix="0" xfId="0"/>
    <xf numFmtId="9" fontId="0" fillId="0" borderId="11" pivotButton="0" quotePrefix="0" xfId="4"/>
    <xf numFmtId="0" fontId="5" fillId="0" borderId="0" pivotButton="0" quotePrefix="0" xfId="0"/>
    <xf numFmtId="14" fontId="5" fillId="0" borderId="0" pivotButton="0" quotePrefix="0" xfId="0"/>
    <xf numFmtId="0" fontId="7" fillId="0" borderId="0" pivotButton="0" quotePrefix="0" xfId="0"/>
    <xf numFmtId="168" fontId="7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14" fontId="7" fillId="0" borderId="0" pivotButton="0" quotePrefix="0" xfId="0"/>
    <xf numFmtId="171" fontId="7" fillId="0" borderId="0" pivotButton="0" quotePrefix="0" xfId="0"/>
    <xf numFmtId="2" fontId="7" fillId="0" borderId="0" pivotButton="0" quotePrefix="0" xfId="0"/>
    <xf numFmtId="0" fontId="7" fillId="4" borderId="0" pivotButton="0" quotePrefix="0" xfId="0"/>
    <xf numFmtId="0" fontId="8" fillId="4" borderId="0" pivotButton="0" quotePrefix="0" xfId="0"/>
    <xf numFmtId="0" fontId="8" fillId="4" borderId="0" applyAlignment="1" pivotButton="0" quotePrefix="0" xfId="0">
      <alignment horizontal="center"/>
    </xf>
    <xf numFmtId="0" fontId="9" fillId="4" borderId="0" applyAlignment="1" pivotButton="0" quotePrefix="0" xfId="0">
      <alignment horizontal="right" vertical="center"/>
    </xf>
    <xf numFmtId="0" fontId="10" fillId="4" borderId="0" pivotButton="0" quotePrefix="0" xfId="1"/>
    <xf numFmtId="0" fontId="8" fillId="4" borderId="1" pivotButton="0" quotePrefix="0" xfId="0"/>
    <xf numFmtId="0" fontId="8" fillId="4" borderId="1" applyAlignment="1" pivotButton="0" quotePrefix="0" xfId="0">
      <alignment horizontal="right"/>
    </xf>
    <xf numFmtId="172" fontId="7" fillId="4" borderId="0" pivotButton="0" quotePrefix="0" xfId="0"/>
    <xf numFmtId="0" fontId="8" fillId="4" borderId="2" pivotButton="0" quotePrefix="0" xfId="0"/>
    <xf numFmtId="171" fontId="7" fillId="4" borderId="0" applyAlignment="1" pivotButton="0" quotePrefix="0" xfId="0">
      <alignment vertical="center"/>
    </xf>
    <xf numFmtId="0" fontId="8" fillId="4" borderId="0" applyAlignment="1" pivotButton="0" quotePrefix="0" xfId="0">
      <alignment horizontal="left"/>
    </xf>
    <xf numFmtId="168" fontId="8" fillId="4" borderId="0" pivotButton="0" quotePrefix="0" xfId="0"/>
    <xf numFmtId="0" fontId="7" fillId="4" borderId="37" pivotButton="0" quotePrefix="0" xfId="0"/>
    <xf numFmtId="10" fontId="7" fillId="4" borderId="37" pivotButton="0" quotePrefix="0" xfId="0"/>
    <xf numFmtId="165" fontId="7" fillId="4" borderId="37" applyAlignment="1" pivotButton="0" quotePrefix="0" xfId="0">
      <alignment horizontal="right"/>
    </xf>
    <xf numFmtId="0" fontId="9" fillId="4" borderId="0" pivotButton="0" quotePrefix="0" xfId="0"/>
    <xf numFmtId="3" fontId="9" fillId="4" borderId="0" pivotButton="0" quotePrefix="0" xfId="0"/>
    <xf numFmtId="165" fontId="7" fillId="4" borderId="0" applyAlignment="1" pivotButton="0" quotePrefix="0" xfId="0">
      <alignment horizontal="right"/>
    </xf>
    <xf numFmtId="0" fontId="9" fillId="4" borderId="1" pivotButton="0" quotePrefix="0" xfId="0"/>
    <xf numFmtId="3" fontId="9" fillId="4" borderId="1" pivotButton="0" quotePrefix="0" xfId="0"/>
    <xf numFmtId="165" fontId="7" fillId="4" borderId="1" applyAlignment="1" pivotButton="0" quotePrefix="0" xfId="0">
      <alignment horizontal="right"/>
    </xf>
    <xf numFmtId="0" fontId="11" fillId="4" borderId="0" pivotButton="0" quotePrefix="0" xfId="0"/>
    <xf numFmtId="3" fontId="11" fillId="4" borderId="0" pivotButton="0" quotePrefix="0" xfId="0"/>
    <xf numFmtId="165" fontId="8" fillId="4" borderId="0" applyAlignment="1" pivotButton="0" quotePrefix="0" xfId="0">
      <alignment horizontal="right"/>
    </xf>
    <xf numFmtId="171" fontId="8" fillId="4" borderId="0" applyAlignment="1" pivotButton="0" quotePrefix="0" xfId="0">
      <alignment vertical="center"/>
    </xf>
    <xf numFmtId="0" fontId="11" fillId="4" borderId="1" pivotButton="0" quotePrefix="0" xfId="0"/>
    <xf numFmtId="10" fontId="9" fillId="4" borderId="0" pivotButton="0" quotePrefix="0" xfId="4"/>
    <xf numFmtId="165" fontId="7" fillId="4" borderId="1" applyAlignment="1" pivotButton="0" quotePrefix="0" xfId="0">
      <alignment horizontal="center"/>
    </xf>
    <xf numFmtId="0" fontId="7" fillId="4" borderId="1" pivotButton="0" quotePrefix="0" xfId="0"/>
    <xf numFmtId="165" fontId="7" fillId="4" borderId="0" applyAlignment="1" pivotButton="0" quotePrefix="0" xfId="0">
      <alignment horizontal="center"/>
    </xf>
    <xf numFmtId="172" fontId="7" fillId="4" borderId="1" pivotButton="0" quotePrefix="0" xfId="0"/>
    <xf numFmtId="0" fontId="8" fillId="4" borderId="1" applyAlignment="1" pivotButton="0" quotePrefix="0" xfId="0">
      <alignment horizontal="center"/>
    </xf>
    <xf numFmtId="171" fontId="8" fillId="4" borderId="1" applyAlignment="1" pivotButton="0" quotePrefix="0" xfId="0">
      <alignment vertical="center"/>
    </xf>
    <xf numFmtId="0" fontId="11" fillId="4" borderId="2" pivotButton="0" quotePrefix="0" xfId="0"/>
    <xf numFmtId="171" fontId="8" fillId="4" borderId="2" applyAlignment="1" pivotButton="0" quotePrefix="0" xfId="0">
      <alignment vertical="center"/>
    </xf>
    <xf numFmtId="173" fontId="5" fillId="0" borderId="0" pivotButton="0" quotePrefix="0" xfId="3"/>
    <xf numFmtId="174" fontId="5" fillId="3" borderId="0" pivotButton="0" quotePrefix="0" xfId="3"/>
    <xf numFmtId="173" fontId="5" fillId="3" borderId="0" pivotButton="0" quotePrefix="0" xfId="3"/>
    <xf numFmtId="0" fontId="5" fillId="0" borderId="0" applyAlignment="1" pivotButton="0" quotePrefix="0" xfId="0">
      <alignment horizontal="center"/>
    </xf>
    <xf numFmtId="173" fontId="5" fillId="3" borderId="0" applyAlignment="1" pivotButton="0" quotePrefix="0" xfId="3">
      <alignment horizontal="center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5" fillId="0" borderId="3" pivotButton="0" quotePrefix="0" xfId="0"/>
    <xf numFmtId="0" fontId="5" fillId="0" borderId="5" pivotButton="0" quotePrefix="0" xfId="0"/>
    <xf numFmtId="0" fontId="5" fillId="0" borderId="4" pivotButton="0" quotePrefix="0" xfId="0"/>
    <xf numFmtId="165" fontId="5" fillId="0" borderId="34" pivotButton="0" quotePrefix="0" xfId="0"/>
    <xf numFmtId="165" fontId="5" fillId="0" borderId="36" pivotButton="0" quotePrefix="0" xfId="0"/>
    <xf numFmtId="0" fontId="5" fillId="0" borderId="6" pivotButton="0" quotePrefix="0" xfId="0"/>
    <xf numFmtId="0" fontId="5" fillId="0" borderId="7" pivotButton="0" quotePrefix="0" xfId="0"/>
    <xf numFmtId="14" fontId="5" fillId="0" borderId="3" pivotButton="0" quotePrefix="0" xfId="0"/>
    <xf numFmtId="0" fontId="5" fillId="0" borderId="33" pivotButton="0" quotePrefix="0" xfId="0"/>
    <xf numFmtId="0" fontId="5" fillId="0" borderId="35" pivotButton="0" quotePrefix="0" xfId="0"/>
    <xf numFmtId="0" fontId="5" fillId="0" borderId="12" pivotButton="0" quotePrefix="0" xfId="0"/>
    <xf numFmtId="10" fontId="6" fillId="0" borderId="0" pivotButton="0" quotePrefix="0" xfId="0"/>
    <xf numFmtId="0" fontId="6" fillId="0" borderId="18" applyAlignment="1" pivotButton="0" quotePrefix="0" xfId="0">
      <alignment vertical="top"/>
    </xf>
    <xf numFmtId="0" fontId="6" fillId="0" borderId="18" applyAlignment="1" pivotButton="0" quotePrefix="0" xfId="0">
      <alignment horizontal="center" vertical="top"/>
    </xf>
    <xf numFmtId="164" fontId="5" fillId="0" borderId="21" applyAlignment="1" pivotButton="0" quotePrefix="0" xfId="3">
      <alignment horizontal="center" vertical="top"/>
    </xf>
    <xf numFmtId="14" fontId="5" fillId="0" borderId="16" pivotButton="0" quotePrefix="0" xfId="0"/>
    <xf numFmtId="14" fontId="5" fillId="0" borderId="17" pivotButton="0" quotePrefix="0" xfId="0"/>
    <xf numFmtId="0" fontId="5" fillId="0" borderId="17" pivotButton="0" quotePrefix="0" xfId="0"/>
    <xf numFmtId="165" fontId="5" fillId="0" borderId="17" pivotButton="0" quotePrefix="0" xfId="0"/>
    <xf numFmtId="165" fontId="5" fillId="0" borderId="18" pivotButton="0" quotePrefix="0" xfId="0"/>
    <xf numFmtId="14" fontId="5" fillId="0" borderId="27" pivotButton="0" quotePrefix="0" xfId="0"/>
    <xf numFmtId="165" fontId="5" fillId="0" borderId="3" pivotButton="0" quotePrefix="0" xfId="0"/>
    <xf numFmtId="165" fontId="5" fillId="0" borderId="28" pivotButton="0" quotePrefix="0" xfId="0"/>
    <xf numFmtId="14" fontId="5" fillId="0" borderId="29" pivotButton="0" quotePrefix="0" xfId="0"/>
    <xf numFmtId="14" fontId="5" fillId="0" borderId="6" pivotButton="0" quotePrefix="0" xfId="0"/>
    <xf numFmtId="165" fontId="5" fillId="0" borderId="6" pivotButton="0" quotePrefix="0" xfId="0"/>
    <xf numFmtId="165" fontId="5" fillId="0" borderId="30" pivotButton="0" quotePrefix="0" xfId="0"/>
    <xf numFmtId="0" fontId="6" fillId="0" borderId="13" pivotButton="0" quotePrefix="0" xfId="0"/>
    <xf numFmtId="0" fontId="6" fillId="0" borderId="14" applyAlignment="1" pivotButton="0" quotePrefix="0" xfId="0">
      <alignment horizontal="right"/>
    </xf>
    <xf numFmtId="165" fontId="6" fillId="0" borderId="14" pivotButton="0" quotePrefix="0" xfId="0"/>
    <xf numFmtId="165" fontId="6" fillId="0" borderId="15" pivotButton="0" quotePrefix="0" xfId="0"/>
    <xf numFmtId="0" fontId="8" fillId="4" borderId="0" applyAlignment="1" pivotButton="0" quotePrefix="0" xfId="0">
      <alignment horizontal="right"/>
    </xf>
    <xf numFmtId="0" fontId="7" fillId="4" borderId="0" applyAlignment="1" pivotButton="0" quotePrefix="0" xfId="0">
      <alignment horizontal="right"/>
    </xf>
    <xf numFmtId="172" fontId="7" fillId="4" borderId="0" applyAlignment="1" pivotButton="0" quotePrefix="0" xfId="0">
      <alignment horizontal="right"/>
    </xf>
    <xf numFmtId="171" fontId="7" fillId="4" borderId="0" applyAlignment="1" pivotButton="0" quotePrefix="0" xfId="0">
      <alignment horizontal="right" vertical="center"/>
    </xf>
    <xf numFmtId="168" fontId="8" fillId="4" borderId="0" applyAlignment="1" pivotButton="0" quotePrefix="0" xfId="0">
      <alignment horizontal="right" vertical="center"/>
    </xf>
    <xf numFmtId="171" fontId="7" fillId="4" borderId="37" applyAlignment="1" pivotButton="0" quotePrefix="0" xfId="0">
      <alignment horizontal="right" vertical="center"/>
    </xf>
    <xf numFmtId="171" fontId="7" fillId="4" borderId="1" applyAlignment="1" pivotButton="0" quotePrefix="0" xfId="0">
      <alignment horizontal="right" vertical="center"/>
    </xf>
    <xf numFmtId="171" fontId="8" fillId="4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/>
    </xf>
    <xf numFmtId="171" fontId="8" fillId="4" borderId="0" applyAlignment="1" pivotButton="0" quotePrefix="0" xfId="0">
      <alignment horizontal="right"/>
    </xf>
    <xf numFmtId="171" fontId="7" fillId="4" borderId="0" applyAlignment="1" pivotButton="0" quotePrefix="0" xfId="0">
      <alignment horizontal="right"/>
    </xf>
    <xf numFmtId="171" fontId="8" fillId="4" borderId="1" applyAlignment="1" pivotButton="0" quotePrefix="0" xfId="0">
      <alignment horizontal="right"/>
    </xf>
    <xf numFmtId="171" fontId="7" fillId="4" borderId="1" applyAlignment="1" pivotButton="0" quotePrefix="0" xfId="0">
      <alignment horizontal="right"/>
    </xf>
    <xf numFmtId="171" fontId="8" fillId="4" borderId="1" applyAlignment="1" pivotButton="0" quotePrefix="0" xfId="0">
      <alignment horizontal="right" vertical="center"/>
    </xf>
    <xf numFmtId="171" fontId="8" fillId="4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  <xf numFmtId="175" fontId="8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173" fontId="6" fillId="0" borderId="0" applyAlignment="1" pivotButton="0" quotePrefix="0" xfId="3">
      <alignment vertical="center" wrapText="1"/>
    </xf>
    <xf numFmtId="174" fontId="6" fillId="0" borderId="0" applyAlignment="1" pivotButton="0" quotePrefix="0" xfId="3">
      <alignment vertical="center" wrapText="1"/>
    </xf>
    <xf numFmtId="0" fontId="5" fillId="0" borderId="0" applyAlignment="1" pivotButton="0" quotePrefix="0" xfId="0">
      <alignment horizontal="center" vertical="center" wrapText="1"/>
    </xf>
    <xf numFmtId="176" fontId="6" fillId="0" borderId="0" pivotButton="0" quotePrefix="0" xfId="0"/>
    <xf numFmtId="176" fontId="6" fillId="0" borderId="0" applyAlignment="1" pivotButton="0" quotePrefix="0" xfId="0">
      <alignment horizontal="center" vertical="center" wrapText="1"/>
    </xf>
    <xf numFmtId="176" fontId="5" fillId="0" borderId="0" applyAlignment="1" pivotButton="0" quotePrefix="0" xfId="0">
      <alignment horizontal="center"/>
    </xf>
    <xf numFmtId="176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wrapText="1"/>
    </xf>
    <xf numFmtId="167" fontId="0" fillId="0" borderId="24" pivotButton="0" quotePrefix="0" xfId="4"/>
    <xf numFmtId="9" fontId="7" fillId="0" borderId="0" pivotButton="0" quotePrefix="0" xfId="0"/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177" fontId="5" fillId="0" borderId="0" pivotButton="0" quotePrefix="0" xfId="0"/>
    <xf numFmtId="178" fontId="5" fillId="0" borderId="0" pivotButton="0" quotePrefix="0" xfId="0"/>
    <xf numFmtId="168" fontId="5" fillId="0" borderId="0" pivotButton="0" quotePrefix="0" xfId="0"/>
    <xf numFmtId="179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/>
    </xf>
    <xf numFmtId="0" fontId="6" fillId="6" borderId="0" applyAlignment="1" pivotButton="0" quotePrefix="0" xfId="0">
      <alignment horizontal="left"/>
    </xf>
    <xf numFmtId="180" fontId="5" fillId="0" borderId="0" pivotButton="0" quotePrefix="0" xfId="0"/>
    <xf numFmtId="181" fontId="5" fillId="0" borderId="0" pivotButton="0" quotePrefix="0" xfId="0"/>
    <xf numFmtId="181" fontId="6" fillId="0" borderId="0" pivotButton="0" quotePrefix="0" xfId="0"/>
    <xf numFmtId="0" fontId="6" fillId="6" borderId="38" applyAlignment="1" pivotButton="0" quotePrefix="0" xfId="0">
      <alignment horizontal="left"/>
    </xf>
    <xf numFmtId="181" fontId="5" fillId="0" borderId="38" pivotButton="0" quotePrefix="0" xfId="0"/>
    <xf numFmtId="0" fontId="6" fillId="0" borderId="39" applyAlignment="1" pivotButton="0" quotePrefix="0" xfId="0">
      <alignment vertical="center"/>
    </xf>
    <xf numFmtId="0" fontId="6" fillId="0" borderId="43" applyAlignment="1" pivotButton="0" quotePrefix="0" xfId="0">
      <alignment horizontal="center"/>
    </xf>
    <xf numFmtId="180" fontId="6" fillId="0" borderId="43" applyAlignment="1" pivotButton="0" quotePrefix="0" xfId="0">
      <alignment horizontal="right"/>
    </xf>
    <xf numFmtId="181" fontId="6" fillId="0" borderId="43" pivotButton="0" quotePrefix="0" xfId="0"/>
    <xf numFmtId="181" fontId="6" fillId="0" borderId="44" pivotButton="0" quotePrefix="0" xfId="0"/>
    <xf numFmtId="176" fontId="5" fillId="0" borderId="38" applyAlignment="1" pivotButton="0" quotePrefix="0" xfId="0">
      <alignment horizontal="left"/>
    </xf>
    <xf numFmtId="0" fontId="6" fillId="0" borderId="41" applyAlignment="1" pivotButton="0" quotePrefix="0" xfId="0">
      <alignment horizontal="left"/>
    </xf>
    <xf numFmtId="168" fontId="5" fillId="0" borderId="45" pivotButton="0" quotePrefix="0" xfId="0"/>
    <xf numFmtId="0" fontId="5" fillId="0" borderId="45" pivotButton="0" quotePrefix="0" xfId="0"/>
    <xf numFmtId="181" fontId="5" fillId="0" borderId="38" applyAlignment="1" pivotButton="0" quotePrefix="0" xfId="0">
      <alignment horizontal="center"/>
    </xf>
    <xf numFmtId="181" fontId="6" fillId="0" borderId="41" applyAlignment="1" pivotButton="0" quotePrefix="0" xfId="0">
      <alignment horizontal="center"/>
    </xf>
    <xf numFmtId="0" fontId="6" fillId="5" borderId="0" applyAlignment="1" pivotButton="0" quotePrefix="0" xfId="0">
      <alignment vertical="center"/>
    </xf>
    <xf numFmtId="0" fontId="6" fillId="6" borderId="0" applyAlignment="1" pivotButton="0" quotePrefix="0" xfId="0">
      <alignment horizontal="center" wrapText="1"/>
    </xf>
    <xf numFmtId="0" fontId="6" fillId="6" borderId="0" pivotButton="0" quotePrefix="0" xfId="0"/>
    <xf numFmtId="10" fontId="6" fillId="6" borderId="0" applyAlignment="1" pivotButton="0" quotePrefix="0" xfId="0">
      <alignment horizontal="center"/>
    </xf>
    <xf numFmtId="168" fontId="6" fillId="6" borderId="0" applyAlignment="1" pivotButton="0" quotePrefix="0" xfId="0">
      <alignment horizontal="center"/>
    </xf>
    <xf numFmtId="10" fontId="6" fillId="6" borderId="0" applyAlignment="1" pivotButton="0" quotePrefix="0" xfId="4">
      <alignment horizontal="center"/>
    </xf>
    <xf numFmtId="9" fontId="6" fillId="6" borderId="0" applyAlignment="1" pivotButton="0" quotePrefix="0" xfId="0">
      <alignment horizontal="center" vertical="center"/>
    </xf>
    <xf numFmtId="0" fontId="6" fillId="5" borderId="46" applyAlignment="1" pivotButton="0" quotePrefix="0" xfId="0">
      <alignment horizontal="center" vertical="center"/>
    </xf>
    <xf numFmtId="0" fontId="6" fillId="5" borderId="47" applyAlignment="1" pivotButton="0" quotePrefix="0" xfId="0">
      <alignment vertical="center"/>
    </xf>
    <xf numFmtId="0" fontId="6" fillId="6" borderId="47" applyAlignment="1" pivotButton="0" quotePrefix="0" xfId="0">
      <alignment horizontal="center" vertical="center"/>
    </xf>
    <xf numFmtId="0" fontId="6" fillId="5" borderId="38" applyAlignment="1" pivotButton="0" quotePrefix="0" xfId="0">
      <alignment vertical="center"/>
    </xf>
    <xf numFmtId="0" fontId="5" fillId="0" borderId="39" pivotButton="0" quotePrefix="0" xfId="0"/>
    <xf numFmtId="0" fontId="6" fillId="5" borderId="48" applyAlignment="1" pivotButton="0" quotePrefix="0" xfId="0">
      <alignment horizontal="center" vertical="center"/>
    </xf>
    <xf numFmtId="0" fontId="5" fillId="5" borderId="38" pivotButton="0" quotePrefix="0" xfId="0"/>
    <xf numFmtId="0" fontId="5" fillId="6" borderId="38" pivotButton="0" quotePrefix="0" xfId="0"/>
    <xf numFmtId="0" fontId="6" fillId="0" borderId="38" pivotButton="0" quotePrefix="0" xfId="0"/>
    <xf numFmtId="0" fontId="6" fillId="6" borderId="38" pivotButton="0" quotePrefix="0" xfId="0"/>
    <xf numFmtId="10" fontId="6" fillId="6" borderId="38" applyAlignment="1" pivotButton="0" quotePrefix="0" xfId="4">
      <alignment horizontal="center"/>
    </xf>
    <xf numFmtId="0" fontId="6" fillId="0" borderId="38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170" fontId="5" fillId="0" borderId="38" pivotButton="0" quotePrefix="0" xfId="0"/>
    <xf numFmtId="182" fontId="5" fillId="0" borderId="0" pivotButton="0" quotePrefix="0" xfId="0"/>
    <xf numFmtId="182" fontId="5" fillId="0" borderId="38" pivotButton="0" quotePrefix="0" xfId="0"/>
    <xf numFmtId="182" fontId="6" fillId="0" borderId="43" pivotButton="0" quotePrefix="0" xfId="0"/>
    <xf numFmtId="182" fontId="6" fillId="0" borderId="44" pivotButton="0" quotePrefix="0" xfId="0"/>
    <xf numFmtId="167" fontId="6" fillId="6" borderId="40" applyAlignment="1" pivotButton="0" quotePrefix="0" xfId="0">
      <alignment horizontal="center" vertical="center"/>
    </xf>
    <xf numFmtId="183" fontId="5" fillId="0" borderId="47" pivotButton="0" quotePrefix="0" xfId="0"/>
    <xf numFmtId="184" fontId="5" fillId="0" borderId="0" pivotButton="0" quotePrefix="0" xfId="0"/>
    <xf numFmtId="184" fontId="5" fillId="0" borderId="38" pivotButton="0" quotePrefix="0" xfId="0"/>
    <xf numFmtId="184" fontId="6" fillId="0" borderId="42" pivotButton="0" quotePrefix="0" xfId="0"/>
    <xf numFmtId="184" fontId="6" fillId="0" borderId="44" pivotButton="0" quotePrefix="0" xfId="0"/>
    <xf numFmtId="183" fontId="5" fillId="0" borderId="50" pivotButton="0" quotePrefix="0" xfId="0"/>
    <xf numFmtId="183" fontId="5" fillId="0" borderId="51" pivotButton="0" quotePrefix="0" xfId="0"/>
    <xf numFmtId="185" fontId="5" fillId="0" borderId="38" pivotButton="0" quotePrefix="0" xfId="0"/>
    <xf numFmtId="185" fontId="6" fillId="0" borderId="40" pivotButton="0" quotePrefix="0" xfId="0"/>
    <xf numFmtId="0" fontId="6" fillId="6" borderId="50" applyAlignment="1" pivotButton="0" quotePrefix="0" xfId="0">
      <alignment horizontal="center"/>
    </xf>
    <xf numFmtId="10" fontId="6" fillId="6" borderId="50" applyAlignment="1" pivotButton="0" quotePrefix="0" xfId="4">
      <alignment horizontal="center"/>
    </xf>
    <xf numFmtId="0" fontId="5" fillId="0" borderId="50" pivotButton="0" quotePrefix="0" xfId="0"/>
    <xf numFmtId="0" fontId="5" fillId="6" borderId="49" pivotButton="0" quotePrefix="0" xfId="0"/>
    <xf numFmtId="0" fontId="6" fillId="0" borderId="52" pivotButton="0" quotePrefix="0" xfId="0"/>
    <xf numFmtId="186" fontId="6" fillId="0" borderId="53" pivotButton="0" quotePrefix="0" xfId="0"/>
    <xf numFmtId="186" fontId="5" fillId="0" borderId="54" pivotButton="0" quotePrefix="0" xfId="0"/>
    <xf numFmtId="0" fontId="6" fillId="5" borderId="50" applyAlignment="1" pivotButton="0" quotePrefix="0" xfId="0">
      <alignment vertical="center"/>
    </xf>
    <xf numFmtId="187" fontId="9" fillId="4" borderId="0" applyAlignment="1" pivotButton="0" quotePrefix="0" xfId="0">
      <alignment horizontal="right" vertical="center"/>
    </xf>
    <xf numFmtId="187" fontId="11" fillId="4" borderId="2" applyAlignment="1" pivotButton="0" quotePrefix="0" xfId="0">
      <alignment horizontal="right" vertical="center"/>
    </xf>
    <xf numFmtId="9" fontId="11" fillId="4" borderId="0" pivotButton="0" quotePrefix="0" xfId="0"/>
    <xf numFmtId="9" fontId="9" fillId="4" borderId="0" pivotButton="0" quotePrefix="0" xfId="4"/>
    <xf numFmtId="166" fontId="5" fillId="3" borderId="0" pivotButton="0" quotePrefix="0" xfId="3"/>
    <xf numFmtId="0" fontId="12" fillId="0" borderId="0" pivotButton="0" quotePrefix="0" xfId="0"/>
    <xf numFmtId="0" fontId="6" fillId="0" borderId="3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6" fillId="5" borderId="38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5" borderId="38" applyAlignment="1" pivotButton="0" quotePrefix="0" xfId="0">
      <alignment horizontal="center" vertical="center"/>
    </xf>
    <xf numFmtId="0" fontId="6" fillId="6" borderId="38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 vertical="top" wrapText="1"/>
    </xf>
    <xf numFmtId="0" fontId="6" fillId="0" borderId="19" applyAlignment="1" pivotButton="0" quotePrefix="0" xfId="0">
      <alignment horizontal="center" vertical="top" wrapText="1"/>
    </xf>
    <xf numFmtId="0" fontId="6" fillId="0" borderId="17" applyAlignment="1" pivotButton="0" quotePrefix="0" xfId="0">
      <alignment horizontal="center" vertical="top" wrapText="1"/>
    </xf>
    <xf numFmtId="0" fontId="6" fillId="0" borderId="20" applyAlignment="1" pivotButton="0" quotePrefix="0" xfId="0">
      <alignment horizontal="center" vertical="top" wrapText="1"/>
    </xf>
    <xf numFmtId="176" fontId="6" fillId="0" borderId="0" pivotButton="0" quotePrefix="0" xfId="0"/>
    <xf numFmtId="0" fontId="6" fillId="0" borderId="55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175" fontId="8" fillId="4" borderId="0" applyAlignment="1" pivotButton="0" quotePrefix="0" xfId="0">
      <alignment horizontal="right" vertical="center"/>
    </xf>
    <xf numFmtId="172" fontId="7" fillId="4" borderId="0" applyAlignment="1" pivotButton="0" quotePrefix="0" xfId="0">
      <alignment horizontal="right"/>
    </xf>
    <xf numFmtId="187" fontId="9" fillId="4" borderId="0" applyAlignment="1" pivotButton="0" quotePrefix="0" xfId="0">
      <alignment horizontal="right" vertical="center"/>
    </xf>
    <xf numFmtId="187" fontId="11" fillId="4" borderId="2" applyAlignment="1" pivotButton="0" quotePrefix="0" xfId="0">
      <alignment horizontal="right" vertical="center"/>
    </xf>
    <xf numFmtId="169" fontId="7" fillId="0" borderId="0" pivotButton="0" quotePrefix="0" xfId="0"/>
    <xf numFmtId="172" fontId="7" fillId="4" borderId="1" pivotButton="0" quotePrefix="0" xfId="0"/>
    <xf numFmtId="172" fontId="7" fillId="4" borderId="0" pivotButton="0" quotePrefix="0" xfId="0"/>
    <xf numFmtId="170" fontId="7" fillId="0" borderId="0" pivotButton="0" quotePrefix="0" xfId="0"/>
    <xf numFmtId="177" fontId="5" fillId="0" borderId="0" pivotButton="0" quotePrefix="0" xfId="0"/>
    <xf numFmtId="0" fontId="0" fillId="0" borderId="38" pivotButton="0" quotePrefix="0" xfId="0"/>
    <xf numFmtId="167" fontId="6" fillId="6" borderId="40" applyAlignment="1" pivotButton="0" quotePrefix="0" xfId="0">
      <alignment horizontal="center" vertical="center"/>
    </xf>
    <xf numFmtId="176" fontId="5" fillId="0" borderId="38" applyAlignment="1" pivotButton="0" quotePrefix="0" xfId="0">
      <alignment horizontal="left"/>
    </xf>
    <xf numFmtId="170" fontId="5" fillId="0" borderId="38" pivotButton="0" quotePrefix="0" xfId="0"/>
    <xf numFmtId="186" fontId="5" fillId="0" borderId="54" pivotButton="0" quotePrefix="0" xfId="0"/>
    <xf numFmtId="179" fontId="5" fillId="0" borderId="0" pivotButton="0" quotePrefix="0" xfId="0"/>
    <xf numFmtId="186" fontId="6" fillId="0" borderId="53" pivotButton="0" quotePrefix="0" xfId="0"/>
    <xf numFmtId="176" fontId="5" fillId="0" borderId="0" applyAlignment="1" pivotButton="0" quotePrefix="0" xfId="0">
      <alignment horizontal="center"/>
    </xf>
    <xf numFmtId="0" fontId="0" fillId="0" borderId="58" pivotButton="0" quotePrefix="0" xfId="0"/>
    <xf numFmtId="0" fontId="0" fillId="0" borderId="59" pivotButton="0" quotePrefix="0" xfId="0"/>
    <xf numFmtId="0" fontId="0" fillId="0" borderId="62" pivotButton="0" quotePrefix="0" xfId="0"/>
    <xf numFmtId="164" fontId="5" fillId="0" borderId="21" applyAlignment="1" pivotButton="0" quotePrefix="0" xfId="3">
      <alignment horizontal="center" vertical="top"/>
    </xf>
    <xf numFmtId="173" fontId="5" fillId="0" borderId="0" pivotButton="0" quotePrefix="0" xfId="3"/>
    <xf numFmtId="174" fontId="5" fillId="3" borderId="0" pivotButton="0" quotePrefix="0" xfId="3"/>
    <xf numFmtId="173" fontId="5" fillId="3" borderId="0" pivotButton="0" quotePrefix="0" xfId="3"/>
    <xf numFmtId="176" fontId="6" fillId="0" borderId="0" applyAlignment="1" pivotButton="0" quotePrefix="0" xfId="0">
      <alignment horizontal="center" vertical="center" wrapText="1"/>
    </xf>
    <xf numFmtId="173" fontId="6" fillId="0" borderId="0" applyAlignment="1" pivotButton="0" quotePrefix="0" xfId="3">
      <alignment vertical="center" wrapText="1"/>
    </xf>
    <xf numFmtId="174" fontId="6" fillId="0" borderId="0" applyAlignment="1" pivotButton="0" quotePrefix="0" xfId="3">
      <alignment vertical="center" wrapText="1"/>
    </xf>
    <xf numFmtId="166" fontId="5" fillId="3" borderId="0" pivotButton="0" quotePrefix="0" xfId="3"/>
    <xf numFmtId="173" fontId="5" fillId="3" borderId="0" applyAlignment="1" pivotButton="0" quotePrefix="0" xfId="3">
      <alignment horizontal="center"/>
    </xf>
    <xf numFmtId="176" fontId="5" fillId="0" borderId="0" applyAlignment="1" pivotButton="0" quotePrefix="0" xfId="0">
      <alignment horizontal="center" vertical="center" wrapText="1"/>
    </xf>
    <xf numFmtId="167" fontId="0" fillId="0" borderId="24" pivotButton="0" quotePrefix="0" xfId="4"/>
    <xf numFmtId="164" fontId="0" fillId="0" borderId="24" pivotButton="0" quotePrefix="0" xfId="0"/>
    <xf numFmtId="166" fontId="0" fillId="2" borderId="0" pivotButton="0" quotePrefix="0" xfId="3"/>
    <xf numFmtId="167" fontId="0" fillId="2" borderId="0" pivotButton="0" quotePrefix="0" xfId="4"/>
  </cellXfs>
  <cellStyles count="5">
    <cellStyle name="Normal" xfId="0" builtinId="0"/>
    <cellStyle name="Hyperlink" xfId="1" builtinId="8"/>
    <cellStyle name="Komma 2" xfId="2"/>
    <cellStyle name="Comma" xfId="3" builtinId="3"/>
    <cellStyle name="Per cent" xfId="4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9"/>
  <sheetViews>
    <sheetView showGridLines="0" tabSelected="1" zoomScaleNormal="100" workbookViewId="0">
      <selection activeCell="C20" sqref="C20"/>
    </sheetView>
  </sheetViews>
  <sheetFormatPr baseColWidth="10" defaultColWidth="11.5" defaultRowHeight="11"/>
  <cols>
    <col width="11.5" customWidth="1" style="79" min="1" max="1"/>
    <col width="26.5" customWidth="1" style="79" min="2" max="2"/>
    <col width="18.1640625" customWidth="1" style="79" min="3" max="3"/>
    <col width="11.5" customWidth="1" style="79" min="4" max="5"/>
    <col width="14.5" bestFit="1" customWidth="1" style="79" min="6" max="6"/>
    <col width="11.5" customWidth="1" style="79" min="7" max="16384"/>
  </cols>
  <sheetData>
    <row r="2"/>
    <row r="3">
      <c r="B3" s="28" t="n"/>
      <c r="C3" s="237" t="n"/>
      <c r="D3" s="80" t="n"/>
    </row>
    <row r="4">
      <c r="B4" s="28" t="n"/>
      <c r="C4" s="237" t="n"/>
      <c r="D4" s="80" t="n"/>
    </row>
    <row r="5">
      <c r="B5" s="28" t="n"/>
      <c r="C5" s="237" t="n"/>
      <c r="D5" s="80" t="n"/>
    </row>
    <row r="6">
      <c r="B6" s="28" t="n"/>
      <c r="C6" s="29" t="n"/>
      <c r="D6" s="80" t="n"/>
    </row>
    <row r="7">
      <c r="B7" s="28" t="n"/>
      <c r="C7" s="28" t="n"/>
    </row>
    <row r="8">
      <c r="A8" s="81" t="n"/>
      <c r="B8" s="238" t="n"/>
      <c r="C8" s="239" t="n"/>
      <c r="D8" s="80" t="n"/>
    </row>
    <row r="9">
      <c r="A9" s="81" t="n"/>
      <c r="B9" s="240" t="n"/>
      <c r="C9" s="241" t="n"/>
      <c r="D9" s="80" t="n"/>
    </row>
    <row r="10">
      <c r="A10" s="81" t="n"/>
      <c r="B10" s="87" t="n"/>
      <c r="C10" s="82" t="n"/>
      <c r="D10" s="80" t="n"/>
    </row>
    <row r="11">
      <c r="A11" s="81" t="n"/>
      <c r="B11" s="88" t="n"/>
      <c r="C11" s="83" t="n"/>
      <c r="D11" s="80" t="n"/>
    </row>
    <row r="12">
      <c r="A12" s="84" t="n"/>
      <c r="B12" s="89" t="n"/>
      <c r="C12" s="89" t="n"/>
      <c r="D12" s="84" t="n"/>
      <c r="E12" s="84" t="n"/>
      <c r="F12" s="84" t="n"/>
    </row>
    <row r="13">
      <c r="A13" s="28" t="n"/>
      <c r="B13" s="28" t="n"/>
      <c r="C13" s="28" t="n"/>
      <c r="D13" s="28" t="n"/>
      <c r="E13" s="28" t="n"/>
      <c r="F13" s="28" t="n"/>
      <c r="G13" s="80" t="n"/>
    </row>
    <row r="14">
      <c r="A14" s="28" t="n"/>
      <c r="B14" s="28" t="n"/>
      <c r="C14" s="77" t="n"/>
      <c r="D14" s="77" t="n"/>
      <c r="E14" s="28" t="n"/>
      <c r="F14" s="28" t="n"/>
      <c r="G14" s="80" t="n"/>
    </row>
    <row r="15">
      <c r="A15" s="28" t="n"/>
      <c r="B15" s="28" t="n"/>
      <c r="C15" s="28" t="n"/>
      <c r="D15" s="28" t="n"/>
      <c r="E15" s="28" t="n"/>
      <c r="F15" s="28" t="n"/>
      <c r="G15" s="80" t="n"/>
    </row>
    <row r="16">
      <c r="A16" s="28" t="n"/>
      <c r="B16" s="78" t="n"/>
      <c r="C16" s="90" t="n"/>
      <c r="D16" s="90" t="n"/>
      <c r="E16" s="28" t="n"/>
      <c r="F16" s="28" t="n"/>
      <c r="G16" s="80" t="n"/>
    </row>
    <row r="17">
      <c r="A17" s="28" t="n"/>
      <c r="B17" s="28" t="n"/>
      <c r="C17" s="28" t="n"/>
      <c r="D17" s="28" t="n"/>
      <c r="E17" s="28" t="n"/>
      <c r="F17" s="28" t="n"/>
      <c r="G17" s="80" t="n"/>
    </row>
    <row r="18">
      <c r="A18" s="28" t="n"/>
      <c r="B18" s="28" t="n"/>
      <c r="C18" s="28" t="n"/>
      <c r="D18" s="28" t="n"/>
      <c r="E18" s="28" t="n"/>
      <c r="F18" s="28" t="n"/>
      <c r="G18" s="80" t="n"/>
    </row>
    <row r="19">
      <c r="A19" s="28" t="n"/>
      <c r="B19" s="28" t="n"/>
      <c r="C19" s="28" t="n"/>
      <c r="D19" s="28" t="n"/>
      <c r="E19" s="28" t="n"/>
      <c r="F19" s="28" t="n"/>
      <c r="G19" s="80" t="n"/>
    </row>
    <row r="20">
      <c r="A20" s="85" t="n"/>
      <c r="B20" s="85" t="n"/>
      <c r="C20" s="85" t="n"/>
      <c r="D20" s="85" t="n"/>
      <c r="E20" s="85" t="n"/>
      <c r="F20" s="85" t="n"/>
    </row>
    <row r="21"/>
    <row r="22"/>
    <row r="23"/>
    <row r="24"/>
    <row r="25"/>
    <row r="26"/>
    <row r="27"/>
    <row r="28">
      <c r="D28" s="86" t="n"/>
    </row>
    <row r="29">
      <c r="D29" s="86" t="n"/>
    </row>
  </sheetData>
  <mergeCells count="1">
    <mergeCell ref="B8:C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71"/>
  <sheetViews>
    <sheetView showGridLines="0" topLeftCell="B18" zoomScaleNormal="90" workbookViewId="0">
      <selection activeCell="G51" sqref="G51"/>
    </sheetView>
  </sheetViews>
  <sheetFormatPr baseColWidth="10" defaultColWidth="11.5" defaultRowHeight="12"/>
  <cols>
    <col width="11.5" customWidth="1" style="30" min="1" max="1"/>
    <col width="10.83203125" customWidth="1" style="30" min="2" max="2"/>
    <col width="37.1640625" bestFit="1" customWidth="1" style="30" min="3" max="3"/>
    <col width="7.6640625" bestFit="1" customWidth="1" style="30" min="4" max="4"/>
    <col width="22" customWidth="1" style="30" min="5" max="5"/>
    <col width="20.5" customWidth="1" style="125" min="6" max="6"/>
    <col width="10.83203125" customWidth="1" style="30" min="7" max="7"/>
    <col width="15.1640625" bestFit="1" customWidth="1" style="30" min="8" max="8"/>
    <col width="11.5" customWidth="1" style="30" min="9" max="16384"/>
  </cols>
  <sheetData>
    <row r="2">
      <c r="B2" s="37" t="n"/>
      <c r="C2" s="39" t="n"/>
      <c r="D2" s="39" t="n"/>
      <c r="E2" s="39" t="n"/>
      <c r="F2" s="110" t="n"/>
      <c r="G2" s="37" t="n"/>
    </row>
    <row r="3">
      <c r="B3" s="37" t="n"/>
      <c r="C3" s="39" t="n"/>
      <c r="D3" s="39" t="n"/>
      <c r="E3" s="39" t="n"/>
      <c r="F3" s="110" t="n"/>
      <c r="G3" s="37" t="n"/>
    </row>
    <row r="4">
      <c r="B4" s="37" t="n"/>
      <c r="C4" s="127" t="n"/>
      <c r="D4" s="37" t="n"/>
      <c r="E4" s="37" t="n"/>
      <c r="F4" s="111" t="n"/>
      <c r="G4" s="37" t="n"/>
    </row>
    <row r="5">
      <c r="B5" s="37" t="n"/>
      <c r="C5" s="127" t="n"/>
      <c r="D5" s="37" t="n"/>
      <c r="E5" s="37" t="n"/>
      <c r="F5" s="111" t="n"/>
      <c r="G5" s="37" t="n"/>
    </row>
    <row r="6">
      <c r="B6" s="37" t="n"/>
      <c r="C6" s="127" t="n"/>
      <c r="D6" s="37" t="n"/>
      <c r="E6" s="37" t="n"/>
      <c r="F6" s="111" t="n"/>
      <c r="G6" s="37" t="n"/>
    </row>
    <row r="7">
      <c r="B7" s="37" t="n"/>
      <c r="C7" s="127" t="n"/>
      <c r="D7" s="37" t="n"/>
      <c r="E7" s="40" t="inlineStr">
        <is>
          <t>from</t>
        </is>
      </c>
      <c r="F7" s="242">
        <f>BOOKINGS!C4</f>
        <v/>
      </c>
      <c r="G7" s="37" t="n"/>
    </row>
    <row r="8">
      <c r="B8" s="37" t="n"/>
      <c r="C8" s="127" t="n"/>
      <c r="D8" s="37" t="n"/>
      <c r="E8" s="40" t="inlineStr">
        <is>
          <t>to</t>
        </is>
      </c>
      <c r="F8" s="242">
        <f>BOOKINGS!C5</f>
        <v/>
      </c>
      <c r="G8" s="37" t="n"/>
    </row>
    <row r="9">
      <c r="B9" s="37" t="n"/>
      <c r="C9" s="41" t="n"/>
      <c r="D9" s="37" t="n"/>
      <c r="E9" s="37" t="n"/>
      <c r="F9" s="111" t="n"/>
      <c r="G9" s="37" t="n"/>
    </row>
    <row r="10">
      <c r="B10" s="37" t="n"/>
      <c r="C10" s="37" t="n"/>
      <c r="D10" s="37" t="n"/>
      <c r="E10" s="37" t="n"/>
      <c r="F10" s="113" t="n"/>
      <c r="G10" s="37" t="n"/>
    </row>
    <row r="11">
      <c r="B11" s="37" t="n"/>
      <c r="C11" s="42" t="inlineStr">
        <is>
          <t>COLLECTED EUR</t>
        </is>
      </c>
      <c r="D11" s="42" t="n"/>
      <c r="E11" s="42" t="n"/>
      <c r="F11" s="43" t="n"/>
      <c r="G11" s="37" t="n"/>
    </row>
    <row r="12">
      <c r="B12" s="37" t="n"/>
      <c r="C12" s="37" t="inlineStr">
        <is>
          <t>Number of transactions</t>
        </is>
      </c>
      <c r="D12" s="37" t="n"/>
      <c r="E12" s="37" t="n"/>
      <c r="F12" s="243">
        <f>COUNTIF(Transactions!D:D,"success")</f>
        <v/>
      </c>
      <c r="G12" s="37" t="n"/>
    </row>
    <row r="13">
      <c r="B13" s="37" t="n"/>
      <c r="C13" s="37" t="inlineStr">
        <is>
          <t>Total Voucher value (EUR)</t>
        </is>
      </c>
      <c r="D13" s="37" t="n"/>
      <c r="E13" s="37" t="n"/>
      <c r="F13" s="244">
        <f>SUMIF(Transactions!D:D,"success",Transactions!H:H)</f>
        <v/>
      </c>
      <c r="G13" s="37" t="n"/>
    </row>
    <row r="14">
      <c r="B14" s="37" t="n"/>
      <c r="C14" s="45" t="inlineStr">
        <is>
          <t>SUM COLLECTED</t>
        </is>
      </c>
      <c r="D14" s="45" t="n"/>
      <c r="E14" s="45" t="n"/>
      <c r="F14" s="245">
        <f>F13</f>
        <v/>
      </c>
      <c r="G14" s="37" t="n"/>
    </row>
    <row r="15">
      <c r="B15" s="37" t="n"/>
      <c r="C15" s="37" t="n"/>
      <c r="D15" s="37" t="n"/>
      <c r="E15" s="37" t="n"/>
      <c r="F15" s="113" t="n"/>
      <c r="G15" s="37" t="n"/>
    </row>
    <row r="16">
      <c r="B16" s="37" t="n"/>
      <c r="C16" s="37" t="n"/>
      <c r="D16" s="37" t="n"/>
      <c r="E16" s="37" t="n"/>
      <c r="F16" s="113" t="n"/>
      <c r="G16" s="37" t="n"/>
    </row>
    <row r="17">
      <c r="B17" s="37" t="n"/>
      <c r="C17" s="47" t="inlineStr">
        <is>
          <t>GRAND TOTAL COLLECTED</t>
        </is>
      </c>
      <c r="D17" s="48" t="n"/>
      <c r="E17" s="48" t="n"/>
      <c r="F17" s="114">
        <f>F14</f>
        <v/>
      </c>
      <c r="G17" s="37" t="n"/>
      <c r="H17" s="31" t="n"/>
    </row>
    <row r="18">
      <c r="B18" s="37" t="n"/>
      <c r="C18" s="37" t="n"/>
      <c r="D18" s="37" t="n"/>
      <c r="E18" s="37" t="n"/>
      <c r="F18" s="113" t="n"/>
      <c r="G18" s="37" t="n"/>
    </row>
    <row r="19">
      <c r="B19" s="37" t="n"/>
      <c r="C19" s="37" t="n"/>
      <c r="D19" s="37" t="n"/>
      <c r="E19" s="37" t="n"/>
      <c r="F19" s="113" t="n"/>
      <c r="G19" s="37" t="n"/>
    </row>
    <row r="20">
      <c r="B20" s="37" t="n"/>
      <c r="C20" s="38" t="inlineStr">
        <is>
          <t>FEES - TRANSACTIONS</t>
        </is>
      </c>
      <c r="D20" s="38" t="n"/>
      <c r="E20" s="37" t="n"/>
      <c r="F20" s="113" t="n"/>
      <c r="G20" s="37" t="n"/>
    </row>
    <row r="21">
      <c r="B21" s="37" t="n"/>
      <c r="C21" s="49" t="inlineStr">
        <is>
          <t>Volume Fee</t>
        </is>
      </c>
      <c r="D21" s="50">
        <f>'Contract terms'!C5</f>
        <v/>
      </c>
      <c r="E21" s="51">
        <f>F17</f>
        <v/>
      </c>
      <c r="F21" s="115">
        <f>D21*E21</f>
        <v/>
      </c>
      <c r="G21" s="37" t="n"/>
      <c r="H21" s="31" t="n"/>
    </row>
    <row r="22">
      <c r="B22" s="37" t="n"/>
      <c r="C22" s="52" t="inlineStr">
        <is>
          <t>Success tx fee</t>
        </is>
      </c>
      <c r="D22" s="53">
        <f>F12</f>
        <v/>
      </c>
      <c r="E22" s="54">
        <f>'Contract terms'!C7</f>
        <v/>
      </c>
      <c r="F22" s="113">
        <f>D22*E22</f>
        <v/>
      </c>
      <c r="G22" s="37" t="n"/>
      <c r="H22" s="246" t="n"/>
    </row>
    <row r="23">
      <c r="B23" s="37" t="n"/>
      <c r="C23" s="55" t="inlineStr">
        <is>
          <t xml:space="preserve">Failed tx fee </t>
        </is>
      </c>
      <c r="D23" s="56">
        <f>COUNTIF(Transactions!$D:$D,"decline")</f>
        <v/>
      </c>
      <c r="E23" s="57">
        <f>'DAILY REPORT'!N5</f>
        <v/>
      </c>
      <c r="F23" s="116">
        <f>D23*E23</f>
        <v/>
      </c>
      <c r="G23" s="37" t="n"/>
      <c r="H23" s="246" t="n"/>
    </row>
    <row r="24">
      <c r="B24" s="37" t="n"/>
      <c r="C24" s="58" t="inlineStr">
        <is>
          <t>Sum Fees - Transactions</t>
        </is>
      </c>
      <c r="D24" s="59" t="n"/>
      <c r="E24" s="60" t="n"/>
      <c r="F24" s="117">
        <f>SUM(F21:F23)</f>
        <v/>
      </c>
      <c r="G24" s="37" t="n"/>
      <c r="H24" s="246" t="n"/>
    </row>
    <row r="25">
      <c r="B25" s="37" t="n"/>
      <c r="C25" s="52" t="n"/>
      <c r="D25" s="53" t="n"/>
      <c r="E25" s="54" t="n"/>
      <c r="F25" s="113" t="n"/>
      <c r="G25" s="37" t="n"/>
      <c r="H25" s="246" t="n"/>
    </row>
    <row r="26">
      <c r="B26" s="37" t="n"/>
      <c r="C26" s="62" t="inlineStr">
        <is>
          <t>FEES - MONTHLY AND OTHER FEES</t>
        </is>
      </c>
      <c r="D26" s="56" t="n"/>
      <c r="E26" s="57" t="n"/>
      <c r="F26" s="116" t="n"/>
      <c r="G26" s="37" t="n"/>
      <c r="H26" s="246" t="n"/>
    </row>
    <row r="27">
      <c r="B27" s="37" t="n"/>
      <c r="C27" s="52" t="inlineStr">
        <is>
          <t>Settlement fee Rolling Reserve</t>
        </is>
      </c>
      <c r="D27" s="63">
        <f>'Contract terms'!C9</f>
        <v/>
      </c>
      <c r="E27" s="54" t="n">
        <v>0</v>
      </c>
      <c r="F27" s="113">
        <f>D27*E27</f>
        <v/>
      </c>
      <c r="G27" s="37" t="n"/>
      <c r="H27" s="246" t="n"/>
    </row>
    <row r="28">
      <c r="B28" s="37" t="n"/>
      <c r="C28" s="52" t="inlineStr">
        <is>
          <t>Settlement fee Current Funds</t>
        </is>
      </c>
      <c r="D28" s="63">
        <f>'Contract terms'!C9</f>
        <v/>
      </c>
      <c r="E28" s="54" t="n">
        <v>0</v>
      </c>
      <c r="F28" s="113">
        <f>D28*E28</f>
        <v/>
      </c>
      <c r="G28" s="37" t="n"/>
      <c r="H28" s="246" t="n"/>
    </row>
    <row r="29">
      <c r="B29" s="37" t="n"/>
      <c r="C29" s="55" t="inlineStr">
        <is>
          <t>SLA Fee</t>
        </is>
      </c>
      <c r="D29" s="56" t="n"/>
      <c r="E29" s="64" t="n"/>
      <c r="F29" s="116" t="n">
        <v>0</v>
      </c>
      <c r="G29" s="37" t="n"/>
      <c r="H29" s="246" t="n"/>
    </row>
    <row r="30">
      <c r="B30" s="37" t="n"/>
      <c r="C30" s="38" t="inlineStr">
        <is>
          <t>Sum Fees - Monthly and other fees</t>
        </is>
      </c>
      <c r="D30" s="38" t="n"/>
      <c r="E30" s="38" t="n"/>
      <c r="F30" s="117">
        <f>SUM(F27:F29)</f>
        <v/>
      </c>
      <c r="G30" s="37" t="n"/>
      <c r="H30" s="246" t="n"/>
    </row>
    <row r="31">
      <c r="B31" s="37" t="n"/>
      <c r="C31" s="52" t="n"/>
      <c r="D31" s="53" t="n"/>
      <c r="E31" s="54" t="n"/>
      <c r="F31" s="113" t="n"/>
      <c r="G31" s="37" t="n"/>
      <c r="H31" s="246" t="n"/>
    </row>
    <row r="32">
      <c r="B32" s="37" t="n"/>
      <c r="C32" s="38" t="n"/>
      <c r="D32" s="38" t="n"/>
      <c r="E32" s="38" t="n"/>
      <c r="F32" s="117" t="n"/>
      <c r="G32" s="37" t="n"/>
      <c r="H32" s="246" t="n"/>
    </row>
    <row r="33">
      <c r="B33" s="37" t="n"/>
      <c r="C33" s="52" t="n"/>
      <c r="D33" s="53" t="n"/>
      <c r="E33" s="66" t="n"/>
      <c r="F33" s="113" t="n"/>
      <c r="G33" s="37" t="n"/>
      <c r="H33" s="246" t="n"/>
    </row>
    <row r="34">
      <c r="B34" s="37" t="n"/>
      <c r="C34" s="38" t="inlineStr">
        <is>
          <t>SUM FEES</t>
        </is>
      </c>
      <c r="D34" s="38" t="n"/>
      <c r="E34" s="38" t="n"/>
      <c r="F34" s="117">
        <f>F24+F30</f>
        <v/>
      </c>
      <c r="G34" s="37" t="n"/>
    </row>
    <row r="35">
      <c r="B35" s="37" t="n"/>
      <c r="C35" s="38" t="n"/>
      <c r="D35" s="38" t="n"/>
      <c r="E35" s="38" t="n"/>
      <c r="F35" s="117" t="n"/>
      <c r="G35" s="37" t="n"/>
    </row>
    <row r="36">
      <c r="B36" s="37" t="n"/>
      <c r="C36" s="42" t="inlineStr">
        <is>
          <t>CHARGEBACKS AND OTHER</t>
        </is>
      </c>
      <c r="D36" s="42" t="n"/>
      <c r="E36" s="65" t="n"/>
      <c r="F36" s="118" t="n"/>
      <c r="G36" s="37" t="n"/>
    </row>
    <row r="37">
      <c r="B37" s="37" t="n"/>
      <c r="C37" s="37" t="inlineStr">
        <is>
          <t>Number of chargebacks</t>
        </is>
      </c>
      <c r="D37" s="37" t="n"/>
      <c r="E37" s="37" t="n"/>
      <c r="F37" s="243">
        <f>'Chargebacks &amp; refunds'!C45</f>
        <v/>
      </c>
      <c r="G37" s="37" t="n"/>
    </row>
    <row r="38">
      <c r="B38" s="37" t="n"/>
      <c r="C38" s="37" t="inlineStr">
        <is>
          <t>Total Chargebacks (EUR)</t>
        </is>
      </c>
      <c r="D38" s="37" t="n"/>
      <c r="E38" s="37" t="n"/>
      <c r="F38" s="113">
        <f>'Chargebacks &amp; refunds'!E45</f>
        <v/>
      </c>
      <c r="G38" s="37" t="n"/>
    </row>
    <row r="39">
      <c r="B39" s="37" t="n"/>
      <c r="C39" s="65" t="inlineStr">
        <is>
          <t>Chargebacks fees</t>
        </is>
      </c>
      <c r="D39" s="247">
        <f>F37</f>
        <v/>
      </c>
      <c r="E39" s="57">
        <f>'Contract terms'!C11</f>
        <v/>
      </c>
      <c r="F39" s="116">
        <f>D39*E39</f>
        <v/>
      </c>
      <c r="G39" s="37" t="n"/>
    </row>
    <row r="40">
      <c r="B40" s="37" t="n"/>
      <c r="C40" s="37" t="inlineStr">
        <is>
          <t>Number of refunds and corrections</t>
        </is>
      </c>
      <c r="D40" s="248" t="n"/>
      <c r="E40" s="54" t="n"/>
      <c r="F40" s="243">
        <f>'Chargebacks &amp; refunds'!I45</f>
        <v/>
      </c>
      <c r="G40" s="37" t="n"/>
    </row>
    <row r="41">
      <c r="B41" s="37" t="n"/>
      <c r="C41" s="37" t="inlineStr">
        <is>
          <t>Total refunds and corrections (EUR)</t>
        </is>
      </c>
      <c r="D41" s="248" t="n"/>
      <c r="E41" s="54" t="n"/>
      <c r="F41" s="113">
        <f>'Chargebacks &amp; refunds'!K45</f>
        <v/>
      </c>
      <c r="G41" s="37" t="n"/>
    </row>
    <row r="42">
      <c r="B42" s="37" t="n"/>
      <c r="C42" s="65" t="inlineStr">
        <is>
          <t>Refunds and corrections fees</t>
        </is>
      </c>
      <c r="D42" s="247">
        <f>F40</f>
        <v/>
      </c>
      <c r="E42" s="57">
        <f>'Contract terms'!C12</f>
        <v/>
      </c>
      <c r="F42" s="116">
        <f>D42*E42</f>
        <v/>
      </c>
      <c r="G42" s="37" t="n"/>
    </row>
    <row r="43">
      <c r="B43" s="37" t="n"/>
      <c r="C43" s="38" t="inlineStr">
        <is>
          <t>TOTAL CHARGEBACKS AND OTHER</t>
        </is>
      </c>
      <c r="D43" s="38" t="n"/>
      <c r="E43" s="38" t="n"/>
      <c r="F43" s="119">
        <f>F38+F39+F41+F42</f>
        <v/>
      </c>
      <c r="G43" s="37" t="n"/>
    </row>
    <row r="44">
      <c r="B44" s="37" t="n"/>
      <c r="C44" s="37" t="n"/>
      <c r="D44" s="37" t="n"/>
      <c r="E44" s="37" t="n"/>
      <c r="F44" s="120" t="n"/>
      <c r="G44" s="37" t="n"/>
    </row>
    <row r="45">
      <c r="B45" s="37" t="n"/>
      <c r="C45" s="42" t="inlineStr">
        <is>
          <t>TOTALS</t>
        </is>
      </c>
      <c r="D45" s="42" t="n"/>
      <c r="E45" s="68" t="n"/>
      <c r="F45" s="121" t="n"/>
      <c r="G45" s="37" t="n"/>
    </row>
    <row r="46">
      <c r="B46" s="37" t="n"/>
      <c r="C46" s="37" t="inlineStr">
        <is>
          <t>Total Voucher Sales</t>
        </is>
      </c>
      <c r="D46" s="37" t="n"/>
      <c r="E46" s="37" t="n"/>
      <c r="F46" s="120">
        <f>F17</f>
        <v/>
      </c>
      <c r="G46" s="37" t="n"/>
    </row>
    <row r="47">
      <c r="B47" s="37" t="n"/>
      <c r="C47" s="37" t="inlineStr">
        <is>
          <t>Fees</t>
        </is>
      </c>
      <c r="D47" s="37" t="n"/>
      <c r="E47" s="37" t="n"/>
      <c r="F47" s="120">
        <f>-F34</f>
        <v/>
      </c>
      <c r="G47" s="37" t="n"/>
    </row>
    <row r="48">
      <c r="B48" s="37" t="n"/>
      <c r="C48" s="65" t="inlineStr">
        <is>
          <t>Chargebacks and other</t>
        </is>
      </c>
      <c r="D48" s="65" t="n"/>
      <c r="E48" s="65" t="n"/>
      <c r="F48" s="122">
        <f>-F43</f>
        <v/>
      </c>
      <c r="G48" s="37" t="n"/>
    </row>
    <row r="49">
      <c r="B49" s="37" t="n"/>
      <c r="C49" s="62" t="inlineStr">
        <is>
          <t>Total settlement amount</t>
        </is>
      </c>
      <c r="D49" s="62" t="n"/>
      <c r="E49" s="69" t="n"/>
      <c r="F49" s="123">
        <f>SUM(F46:F48)</f>
        <v/>
      </c>
      <c r="G49" s="37" t="n"/>
      <c r="H49" s="249" t="n"/>
    </row>
    <row r="50">
      <c r="B50" s="37" t="n"/>
      <c r="C50" s="52" t="n"/>
      <c r="D50" s="52" t="n"/>
      <c r="E50" s="46" t="n"/>
      <c r="F50" s="113" t="n"/>
      <c r="G50" s="37" t="n"/>
      <c r="H50" s="249" t="n"/>
    </row>
    <row r="51">
      <c r="B51" s="37" t="n"/>
      <c r="C51" s="62">
        <f>'Contract terms'!B14</f>
        <v/>
      </c>
      <c r="D51" s="62" t="n"/>
      <c r="E51" s="69" t="n"/>
      <c r="F51" s="123" t="n"/>
      <c r="G51" s="37" t="n"/>
    </row>
    <row r="52">
      <c r="B52" s="37" t="n"/>
      <c r="C52" s="52" t="inlineStr">
        <is>
          <t>New Rolling Reserve - transactions</t>
        </is>
      </c>
      <c r="D52" s="216">
        <f>'Contract terms'!C14</f>
        <v/>
      </c>
      <c r="E52" s="61" t="n"/>
      <c r="F52" s="113">
        <f>D52*F17</f>
        <v/>
      </c>
      <c r="G52" s="37" t="n"/>
    </row>
    <row r="53">
      <c r="B53" s="37" t="n"/>
      <c r="C53" s="55" t="inlineStr">
        <is>
          <t>Payouts Rolling Released</t>
        </is>
      </c>
      <c r="D53" s="215" t="n"/>
      <c r="E53" s="69" t="n"/>
      <c r="F53" s="116" t="n">
        <v>0</v>
      </c>
      <c r="G53" s="37" t="n"/>
    </row>
    <row r="54">
      <c r="B54" s="37" t="n"/>
      <c r="C54" s="70" t="inlineStr">
        <is>
          <t xml:space="preserve">Closing Balance Rolling </t>
        </is>
      </c>
      <c r="D54" s="70" t="n"/>
      <c r="E54" s="71" t="n"/>
      <c r="F54" s="124">
        <f>SUM(F52:F53)</f>
        <v/>
      </c>
      <c r="G54" s="37" t="n"/>
    </row>
    <row r="55">
      <c r="B55" s="37" t="n"/>
      <c r="C55" s="37" t="n"/>
      <c r="D55" s="52" t="n"/>
      <c r="E55" s="46" t="n"/>
      <c r="F55" s="113" t="n"/>
      <c r="G55" s="37" t="n"/>
      <c r="H55" s="34" t="n"/>
      <c r="I55" s="34" t="n"/>
    </row>
    <row r="56">
      <c r="B56" s="37" t="n"/>
      <c r="C56" s="52" t="n"/>
      <c r="D56" s="52" t="n"/>
      <c r="E56" s="46" t="n"/>
      <c r="F56" s="113" t="n"/>
      <c r="G56" s="37" t="n"/>
      <c r="H56" s="34" t="n"/>
      <c r="I56" s="34" t="n"/>
    </row>
    <row r="57">
      <c r="B57" s="37" t="n"/>
      <c r="C57" s="62" t="inlineStr">
        <is>
          <t>CURRENT FUNDS</t>
        </is>
      </c>
      <c r="D57" s="62" t="n"/>
      <c r="E57" s="69" t="n"/>
      <c r="F57" s="123" t="n"/>
      <c r="G57" s="37" t="n"/>
    </row>
    <row r="58">
      <c r="B58" s="37" t="n"/>
      <c r="C58" s="52" t="inlineStr">
        <is>
          <t>Paid settle</t>
        </is>
      </c>
      <c r="D58" s="52" t="n"/>
      <c r="E58" s="46" t="n"/>
      <c r="F58" s="113" t="n">
        <v>0</v>
      </c>
      <c r="G58" s="37" t="n"/>
    </row>
    <row r="59">
      <c r="B59" s="37" t="n"/>
      <c r="C59" s="52" t="inlineStr">
        <is>
          <t>New Current Funds - transactions</t>
        </is>
      </c>
      <c r="D59" s="52" t="n"/>
      <c r="E59" s="46" t="n"/>
      <c r="F59" s="113">
        <f>F49-F54</f>
        <v/>
      </c>
      <c r="G59" s="37" t="n"/>
      <c r="H59" s="35" t="n"/>
    </row>
    <row r="60">
      <c r="B60" s="37" t="n"/>
      <c r="C60" s="52" t="inlineStr">
        <is>
          <t>Settlement fee Current Funds</t>
        </is>
      </c>
      <c r="D60" s="52" t="n"/>
      <c r="E60" s="46" t="n"/>
      <c r="F60" s="113">
        <f>-F59*'Contract terms'!C10</f>
        <v/>
      </c>
      <c r="G60" s="37" t="n"/>
      <c r="H60" s="140" t="n"/>
    </row>
    <row r="61">
      <c r="B61" s="37" t="n"/>
      <c r="C61" s="70" t="inlineStr">
        <is>
          <t>Closing Balance Current Funds</t>
        </is>
      </c>
      <c r="D61" s="70" t="n"/>
      <c r="E61" s="71" t="n"/>
      <c r="F61" s="124">
        <f>SUM(F58:F60)</f>
        <v/>
      </c>
      <c r="G61" s="37" t="n"/>
      <c r="H61" s="249" t="n"/>
    </row>
    <row r="62">
      <c r="B62" s="37" t="n"/>
      <c r="C62" s="37" t="n"/>
      <c r="D62" s="37" t="n"/>
      <c r="E62" s="37" t="n"/>
      <c r="F62" s="113" t="n"/>
      <c r="G62" s="37" t="n"/>
      <c r="H62" s="34" t="n"/>
    </row>
    <row r="63">
      <c r="B63" s="37" t="n"/>
      <c r="C63" s="37" t="n"/>
      <c r="D63" s="37" t="n"/>
      <c r="E63" s="37" t="n"/>
      <c r="F63" s="113" t="n"/>
      <c r="G63" s="37" t="n"/>
    </row>
    <row r="64">
      <c r="B64" s="37" t="n"/>
      <c r="C64" s="37" t="n"/>
      <c r="D64" s="37" t="n"/>
      <c r="E64" s="37" t="n"/>
      <c r="F64" s="113" t="n"/>
      <c r="G64" s="37" t="n"/>
      <c r="H64" s="34" t="n"/>
    </row>
    <row r="65">
      <c r="B65" s="37" t="n"/>
      <c r="C65" s="37" t="n"/>
      <c r="D65" s="37" t="n"/>
      <c r="E65" s="37" t="n"/>
      <c r="F65" s="111" t="n"/>
      <c r="G65" s="37" t="n"/>
    </row>
    <row r="66">
      <c r="B66" s="37" t="n"/>
      <c r="C66" s="37" t="n"/>
      <c r="D66" s="37" t="n"/>
      <c r="E66" s="37" t="n"/>
      <c r="F66" s="111" t="n"/>
      <c r="G66" s="37" t="n"/>
    </row>
    <row r="67">
      <c r="B67" s="37" t="n"/>
      <c r="C67" s="37" t="n"/>
      <c r="D67" s="37" t="n"/>
      <c r="E67" s="37" t="n"/>
      <c r="F67" s="111" t="n"/>
      <c r="G67" s="37" t="n"/>
    </row>
    <row r="71">
      <c r="H71" s="36" t="n"/>
    </row>
  </sheetData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showGridLines="0" topLeftCell="F1" zoomScaleNormal="100" workbookViewId="0">
      <pane ySplit="5" topLeftCell="A8" activePane="bottomLeft" state="frozen"/>
      <selection pane="bottomLeft" activeCell="L6" sqref="L6"/>
    </sheetView>
  </sheetViews>
  <sheetFormatPr baseColWidth="10" defaultColWidth="13.6640625" defaultRowHeight="11"/>
  <cols>
    <col width="17.6640625" customWidth="1" style="143" min="1" max="1"/>
    <col width="14.5" bestFit="1" customWidth="1" style="28" min="2" max="2"/>
    <col width="16.1640625" bestFit="1" customWidth="1" style="28" min="3" max="3"/>
    <col width="15.33203125" bestFit="1" customWidth="1" style="28" min="4" max="4"/>
    <col width="14.5" bestFit="1" customWidth="1" style="28" min="5" max="5"/>
    <col width="16.1640625" bestFit="1" customWidth="1" style="28" min="6" max="6"/>
    <col width="13.6640625" customWidth="1" style="28" min="7" max="7"/>
    <col width="14.33203125" bestFit="1" customWidth="1" style="28" min="8" max="8"/>
    <col width="14.33203125" customWidth="1" style="28" min="9" max="10"/>
    <col width="10.33203125" bestFit="1" customWidth="1" style="28" min="11" max="11"/>
    <col width="13.5" customWidth="1" style="28" min="12" max="16"/>
    <col width="16.5" customWidth="1" style="28" min="17" max="20"/>
    <col width="13.5" customWidth="1" style="28" min="21" max="21"/>
    <col width="13.6640625" customWidth="1" style="28" min="22" max="23"/>
    <col width="16.83203125" bestFit="1" customWidth="1" style="28" min="24" max="24"/>
    <col width="15.33203125" bestFit="1" customWidth="1" style="28" min="25" max="25"/>
    <col width="13.6640625" customWidth="1" style="28" min="26" max="30"/>
    <col width="14.5" customWidth="1" style="28" min="31" max="31"/>
    <col width="16.1640625" customWidth="1" style="28" min="32" max="32"/>
    <col width="13.6640625" customWidth="1" style="28" min="33" max="39"/>
    <col width="14.5" bestFit="1" customWidth="1" style="28" min="40" max="40"/>
    <col width="16.1640625" bestFit="1" customWidth="1" style="28" min="41" max="41"/>
    <col width="13.6640625" bestFit="1" customWidth="1" style="28" min="42" max="42"/>
    <col width="16.6640625" bestFit="1" customWidth="1" style="28" min="43" max="43"/>
    <col width="16.1640625" bestFit="1" customWidth="1" style="28" min="44" max="44"/>
    <col width="13.6640625" bestFit="1" customWidth="1" style="28" min="45" max="45"/>
    <col width="17.1640625" bestFit="1" customWidth="1" style="28" min="46" max="46"/>
    <col width="13.6640625" bestFit="1" customWidth="1" style="28" min="47" max="48"/>
    <col width="13.6640625" customWidth="1" style="28" min="49" max="49"/>
    <col width="13.6640625" bestFit="1" customWidth="1" style="28" min="50" max="52"/>
    <col width="18.83203125" bestFit="1" customWidth="1" style="28" min="53" max="54"/>
    <col width="13.6640625" bestFit="1" customWidth="1" style="28" min="55" max="57"/>
    <col width="13.6640625" customWidth="1" style="28" min="58" max="58"/>
    <col width="13.6640625" bestFit="1" customWidth="1" style="28" min="59" max="61"/>
    <col width="13.6640625" customWidth="1" style="28" min="62" max="62"/>
    <col width="13.6640625" bestFit="1" customWidth="1" style="28" min="63" max="63"/>
    <col width="20.1640625" bestFit="1" customWidth="1" style="28" min="64" max="65"/>
    <col width="13.6640625" customWidth="1" style="28" min="66" max="66"/>
    <col width="13.6640625" bestFit="1" customWidth="1" style="28" min="67" max="67"/>
    <col width="20.1640625" bestFit="1" customWidth="1" style="28" min="68" max="69"/>
    <col width="13.6640625" customWidth="1" style="28" min="70" max="70"/>
    <col width="13.6640625" bestFit="1" customWidth="1" style="28" min="71" max="71"/>
    <col width="16.83203125" bestFit="1" customWidth="1" style="28" min="72" max="72"/>
    <col width="15.33203125" bestFit="1" customWidth="1" style="28" min="73" max="73"/>
    <col width="13.6640625" customWidth="1" style="28" min="74" max="16384"/>
  </cols>
  <sheetData>
    <row r="1" ht="28.25" customHeight="1" thickBot="1">
      <c r="A1" s="148" t="inlineStr">
        <is>
          <t>TRANSACTION CURRENCY</t>
        </is>
      </c>
      <c r="B1" s="224" t="inlineStr">
        <is>
          <t>EUR</t>
        </is>
      </c>
      <c r="L1" s="250" t="n"/>
      <c r="U1" s="181" t="n"/>
    </row>
    <row r="2" ht="39" customHeight="1" thickBot="1" thickTop="1">
      <c r="A2" s="148" t="n"/>
      <c r="B2" s="224" t="n"/>
      <c r="H2" s="159" t="n"/>
      <c r="I2" s="150" t="n"/>
      <c r="J2" s="150" t="n"/>
      <c r="K2" s="188" t="n"/>
      <c r="L2" s="225" t="inlineStr">
        <is>
          <t>FEES AND CORRECTIONS</t>
        </is>
      </c>
      <c r="Q2" s="170">
        <f>'Contract terms'!B14</f>
        <v/>
      </c>
      <c r="R2" s="177" t="inlineStr">
        <is>
          <t xml:space="preserve">Settlement </t>
        </is>
      </c>
      <c r="S2" s="170" t="n"/>
      <c r="T2" s="180" t="n"/>
      <c r="U2" s="182" t="inlineStr">
        <is>
          <t>Close Balance</t>
        </is>
      </c>
      <c r="V2" s="212" t="n"/>
      <c r="W2" s="182" t="inlineStr">
        <is>
          <t>Close Balance Usdt</t>
        </is>
      </c>
      <c r="X2" s="150" t="n"/>
      <c r="Y2" s="150" t="n"/>
    </row>
    <row r="3" ht="12" customHeight="1" thickTop="1">
      <c r="A3" s="223" t="inlineStr">
        <is>
          <t>DATE</t>
        </is>
      </c>
      <c r="B3" s="225" t="inlineStr">
        <is>
          <t>EURO ZONE</t>
        </is>
      </c>
      <c r="E3" s="226" t="inlineStr">
        <is>
          <t>NON-EUROZONE</t>
        </is>
      </c>
      <c r="G3" s="251" t="n"/>
      <c r="H3" s="227" t="inlineStr">
        <is>
          <t>GRAND TOTAL</t>
        </is>
      </c>
      <c r="I3" s="224" t="n"/>
      <c r="J3" s="224" t="n"/>
      <c r="K3" s="189" t="n"/>
      <c r="Q3" s="170" t="n"/>
      <c r="R3" s="178" t="n"/>
      <c r="S3" s="170" t="n"/>
      <c r="T3" s="180" t="n"/>
      <c r="U3" s="183" t="n"/>
      <c r="V3" s="212" t="n"/>
      <c r="W3" s="183" t="n"/>
      <c r="X3" s="150" t="n"/>
      <c r="Y3" s="150" t="n"/>
    </row>
    <row r="4" ht="12" customHeight="1">
      <c r="A4" s="251" t="n"/>
      <c r="G4" s="251" t="n"/>
      <c r="H4" s="251" t="n"/>
      <c r="I4" s="224" t="n"/>
      <c r="J4" s="224" t="n"/>
      <c r="K4" s="189" t="n"/>
      <c r="L4" s="171" t="inlineStr">
        <is>
          <t>VOLUME FEE</t>
        </is>
      </c>
      <c r="M4" s="152" t="inlineStr">
        <is>
          <t>SUCCESS  FEE</t>
        </is>
      </c>
      <c r="N4" s="172" t="inlineStr">
        <is>
          <t>FAILED FEE</t>
        </is>
      </c>
      <c r="O4" s="228" t="inlineStr">
        <is>
          <t>CHARGEBACKS &amp; REFUNDS</t>
        </is>
      </c>
      <c r="P4" s="229" t="inlineStr">
        <is>
          <t>CORRECTIONS</t>
        </is>
      </c>
      <c r="Q4" s="229" t="inlineStr">
        <is>
          <t>DAILY</t>
        </is>
      </c>
      <c r="R4" s="179" t="n"/>
      <c r="S4" s="172" t="inlineStr">
        <is>
          <t>SETTLEMENT FEE RR</t>
        </is>
      </c>
      <c r="T4" s="186" t="inlineStr">
        <is>
          <t>SETTLEMENT FEE CF</t>
        </is>
      </c>
      <c r="U4" s="184" t="n"/>
      <c r="V4" s="205" t="inlineStr">
        <is>
          <t>FX</t>
        </is>
      </c>
      <c r="W4" s="208" t="n"/>
      <c r="X4" s="224" t="n"/>
      <c r="Y4" s="224" t="n"/>
    </row>
    <row r="5" ht="12" customHeight="1" thickBot="1">
      <c r="A5" s="251" t="n"/>
      <c r="B5" s="152" t="inlineStr">
        <is>
          <t>TRANSACTIONS</t>
        </is>
      </c>
      <c r="C5" s="152" t="inlineStr">
        <is>
          <t>TOTAL ACQUIRED</t>
        </is>
      </c>
      <c r="D5" s="153" t="inlineStr">
        <is>
          <t>TOTAL</t>
        </is>
      </c>
      <c r="E5" s="152" t="inlineStr">
        <is>
          <t>TRANSACTIONS</t>
        </is>
      </c>
      <c r="F5" s="152" t="inlineStr">
        <is>
          <t>TOTAL ACQUIRED</t>
        </is>
      </c>
      <c r="G5" s="157" t="inlineStr">
        <is>
          <t>TOTAL</t>
        </is>
      </c>
      <c r="H5" s="251" t="n"/>
      <c r="I5" s="224" t="n"/>
      <c r="J5" s="224" t="n"/>
      <c r="K5" s="189" t="n"/>
      <c r="L5" s="173" t="n">
        <v>0</v>
      </c>
      <c r="M5" s="174">
        <f>'Contract terms'!C7</f>
        <v/>
      </c>
      <c r="N5" s="174" t="n">
        <v>0</v>
      </c>
      <c r="Q5" s="176">
        <f>'Contract terms'!C14</f>
        <v/>
      </c>
      <c r="R5" s="252" t="n"/>
      <c r="S5" s="175">
        <f>'Contract terms'!H10</f>
        <v/>
      </c>
      <c r="T5" s="187" t="n">
        <v>0</v>
      </c>
      <c r="U5" s="184" t="n"/>
      <c r="V5" s="206" t="n"/>
      <c r="W5" s="208" t="n"/>
    </row>
    <row r="6" ht="12" customHeight="1" thickTop="1">
      <c r="A6" s="253" t="n"/>
      <c r="B6" s="75" t="n"/>
      <c r="C6" s="154" t="n"/>
      <c r="D6" s="154" t="n"/>
      <c r="E6" s="75" t="n"/>
      <c r="F6" s="155" t="n"/>
      <c r="G6" s="158" t="n"/>
      <c r="H6" s="168" t="n"/>
      <c r="I6" s="155" t="n"/>
      <c r="J6" s="155" t="n"/>
      <c r="K6" s="254" t="n"/>
      <c r="L6" s="191" t="n"/>
      <c r="M6" s="191" t="n"/>
      <c r="N6" s="191" t="n"/>
      <c r="O6" s="191" t="n"/>
      <c r="P6" s="191" t="n"/>
      <c r="Q6" s="192" t="n"/>
      <c r="R6" s="202" t="n"/>
      <c r="S6" s="197" t="n"/>
      <c r="T6" s="198" t="n"/>
      <c r="U6" s="203" t="n"/>
      <c r="V6" s="207" t="n"/>
      <c r="W6" s="255" t="n"/>
      <c r="X6" s="256" t="n"/>
      <c r="Y6" s="256" t="n"/>
    </row>
    <row r="7">
      <c r="A7" s="253" t="n"/>
      <c r="B7" s="75" t="n"/>
      <c r="C7" s="154" t="n"/>
      <c r="D7" s="154" t="n"/>
      <c r="E7" s="75" t="n"/>
      <c r="F7" s="155" t="n"/>
      <c r="G7" s="158" t="n"/>
      <c r="H7" s="168" t="n"/>
      <c r="I7" s="155" t="n"/>
      <c r="J7" s="155" t="n"/>
      <c r="K7" s="254" t="n"/>
      <c r="L7" s="191" t="n"/>
      <c r="M7" s="191" t="n"/>
      <c r="N7" s="191" t="n"/>
      <c r="O7" s="191" t="n"/>
      <c r="P7" s="191" t="n"/>
      <c r="Q7" s="192" t="n"/>
      <c r="R7" s="201" t="n"/>
      <c r="S7" s="197" t="n"/>
      <c r="T7" s="198" t="n"/>
      <c r="U7" s="203" t="n"/>
      <c r="V7" s="207" t="n"/>
      <c r="W7" s="255" t="n"/>
      <c r="X7" s="256" t="n"/>
      <c r="Y7" s="256" t="n"/>
    </row>
    <row r="8">
      <c r="A8" s="253" t="n"/>
      <c r="B8" s="75" t="n"/>
      <c r="C8" s="154" t="n"/>
      <c r="D8" s="154" t="n"/>
      <c r="E8" s="75" t="n"/>
      <c r="F8" s="155" t="n"/>
      <c r="G8" s="158" t="n"/>
      <c r="H8" s="168" t="n"/>
      <c r="I8" s="155" t="n"/>
      <c r="J8" s="155" t="n"/>
      <c r="K8" s="254" t="n"/>
      <c r="L8" s="191" t="n"/>
      <c r="M8" s="191" t="n"/>
      <c r="N8" s="191" t="n"/>
      <c r="O8" s="191" t="n"/>
      <c r="P8" s="191" t="n"/>
      <c r="Q8" s="192" t="n"/>
      <c r="R8" s="201" t="n"/>
      <c r="S8" s="197" t="n"/>
      <c r="T8" s="198" t="n"/>
      <c r="U8" s="203" t="n"/>
      <c r="V8" s="207" t="n"/>
      <c r="W8" s="255" t="n"/>
      <c r="X8" s="256" t="n"/>
      <c r="Y8" s="256" t="n"/>
    </row>
    <row r="9">
      <c r="A9" s="253" t="n"/>
      <c r="B9" s="75" t="n"/>
      <c r="C9" s="154" t="n"/>
      <c r="D9" s="154" t="n"/>
      <c r="E9" s="75" t="n"/>
      <c r="F9" s="155" t="n"/>
      <c r="G9" s="158" t="n"/>
      <c r="H9" s="168" t="n"/>
      <c r="I9" s="155" t="n"/>
      <c r="J9" s="155" t="n"/>
      <c r="K9" s="254" t="n"/>
      <c r="L9" s="191" t="n"/>
      <c r="M9" s="191" t="n"/>
      <c r="N9" s="191" t="n"/>
      <c r="O9" s="191" t="n"/>
      <c r="P9" s="191" t="n"/>
      <c r="Q9" s="192" t="n"/>
      <c r="R9" s="201" t="n"/>
      <c r="S9" s="197" t="n"/>
      <c r="T9" s="198" t="n"/>
      <c r="U9" s="203" t="n"/>
      <c r="V9" s="207" t="n"/>
      <c r="W9" s="255" t="n"/>
      <c r="X9" s="256" t="n"/>
      <c r="Y9" s="256" t="n"/>
    </row>
    <row r="10">
      <c r="A10" s="253" t="n"/>
      <c r="B10" s="75" t="n"/>
      <c r="C10" s="154" t="n"/>
      <c r="D10" s="154" t="n"/>
      <c r="E10" s="75" t="n"/>
      <c r="F10" s="155" t="n"/>
      <c r="G10" s="158" t="n"/>
      <c r="H10" s="168" t="n"/>
      <c r="I10" s="155" t="n"/>
      <c r="J10" s="155" t="n"/>
      <c r="K10" s="254" t="n"/>
      <c r="L10" s="191" t="n"/>
      <c r="M10" s="191" t="n"/>
      <c r="N10" s="191" t="n"/>
      <c r="O10" s="191" t="n"/>
      <c r="P10" s="191" t="n"/>
      <c r="Q10" s="192" t="n"/>
      <c r="R10" s="196" t="n"/>
      <c r="S10" s="197" t="n"/>
      <c r="T10" s="198" t="n"/>
      <c r="U10" s="203" t="n"/>
      <c r="V10" s="207" t="n"/>
      <c r="W10" s="255" t="n"/>
      <c r="X10" s="256" t="n"/>
      <c r="Y10" s="256" t="n"/>
    </row>
    <row r="11">
      <c r="A11" s="253" t="n"/>
      <c r="B11" s="75" t="n"/>
      <c r="C11" s="154" t="n"/>
      <c r="D11" s="154" t="n"/>
      <c r="E11" s="75" t="n"/>
      <c r="F11" s="155" t="n"/>
      <c r="G11" s="158" t="n"/>
      <c r="H11" s="168" t="n"/>
      <c r="I11" s="155" t="n"/>
      <c r="J11" s="155" t="n"/>
      <c r="K11" s="254" t="n"/>
      <c r="L11" s="191" t="n"/>
      <c r="M11" s="191" t="n"/>
      <c r="N11" s="191" t="n"/>
      <c r="O11" s="191" t="n"/>
      <c r="P11" s="191" t="n"/>
      <c r="Q11" s="192" t="n"/>
      <c r="R11" s="196" t="n"/>
      <c r="S11" s="197" t="n"/>
      <c r="T11" s="198" t="n"/>
      <c r="U11" s="203" t="n"/>
      <c r="V11" s="207" t="n"/>
      <c r="W11" s="255" t="n"/>
      <c r="X11" s="256" t="n"/>
      <c r="Y11" s="256" t="n"/>
    </row>
    <row r="12">
      <c r="A12" s="253" t="n"/>
      <c r="B12" s="75" t="n"/>
      <c r="C12" s="154" t="n"/>
      <c r="D12" s="154" t="n"/>
      <c r="E12" s="75" t="n"/>
      <c r="F12" s="155" t="n"/>
      <c r="G12" s="158" t="n"/>
      <c r="H12" s="168" t="n"/>
      <c r="I12" s="155" t="n"/>
      <c r="J12" s="155" t="n"/>
      <c r="K12" s="254" t="n"/>
      <c r="L12" s="191" t="n"/>
      <c r="M12" s="191" t="n"/>
      <c r="N12" s="191" t="n"/>
      <c r="O12" s="191" t="n"/>
      <c r="P12" s="191" t="n"/>
      <c r="Q12" s="192" t="n"/>
      <c r="R12" s="196" t="n"/>
      <c r="S12" s="197" t="n"/>
      <c r="T12" s="198" t="n"/>
      <c r="U12" s="203" t="n"/>
      <c r="V12" s="207" t="n"/>
      <c r="W12" s="255" t="n"/>
      <c r="X12" s="256" t="n"/>
      <c r="Y12" s="256" t="n"/>
    </row>
    <row r="13">
      <c r="A13" s="253" t="n"/>
      <c r="B13" s="75" t="n"/>
      <c r="C13" s="154" t="n"/>
      <c r="D13" s="154" t="n"/>
      <c r="E13" s="75" t="n"/>
      <c r="F13" s="155" t="n"/>
      <c r="G13" s="158" t="n"/>
      <c r="H13" s="168" t="n"/>
      <c r="I13" s="155" t="n"/>
      <c r="J13" s="155" t="n"/>
      <c r="K13" s="254" t="n"/>
      <c r="L13" s="191" t="n"/>
      <c r="M13" s="191" t="n"/>
      <c r="N13" s="191" t="n"/>
      <c r="O13" s="191" t="n"/>
      <c r="P13" s="191" t="n"/>
      <c r="Q13" s="192" t="n"/>
      <c r="R13" s="196" t="n"/>
      <c r="S13" s="197" t="n"/>
      <c r="T13" s="198" t="n"/>
      <c r="U13" s="203" t="n"/>
      <c r="V13" s="207" t="n"/>
      <c r="W13" s="255" t="n"/>
      <c r="X13" s="256" t="n"/>
      <c r="Y13" s="256" t="n"/>
    </row>
    <row r="14">
      <c r="A14" s="253" t="n"/>
      <c r="B14" s="75" t="n"/>
      <c r="C14" s="154" t="n"/>
      <c r="D14" s="154" t="n"/>
      <c r="E14" s="75" t="n"/>
      <c r="F14" s="155" t="n"/>
      <c r="G14" s="158" t="n"/>
      <c r="H14" s="168" t="n"/>
      <c r="I14" s="155" t="n"/>
      <c r="J14" s="155" t="n"/>
      <c r="K14" s="254" t="n"/>
      <c r="L14" s="191" t="n"/>
      <c r="M14" s="191" t="n"/>
      <c r="N14" s="191" t="n"/>
      <c r="O14" s="191" t="n"/>
      <c r="P14" s="191" t="n"/>
      <c r="Q14" s="192" t="n"/>
      <c r="R14" s="196" t="n"/>
      <c r="S14" s="197" t="n"/>
      <c r="T14" s="198" t="n"/>
      <c r="U14" s="203" t="n"/>
      <c r="V14" s="207" t="n"/>
      <c r="W14" s="255" t="n"/>
      <c r="X14" s="256" t="n"/>
      <c r="Y14" s="256" t="n"/>
    </row>
    <row r="15">
      <c r="A15" s="253" t="n"/>
      <c r="B15" s="75" t="n"/>
      <c r="C15" s="154" t="n"/>
      <c r="D15" s="154" t="n"/>
      <c r="E15" s="75" t="n"/>
      <c r="F15" s="155" t="n"/>
      <c r="G15" s="158" t="n"/>
      <c r="H15" s="168" t="n"/>
      <c r="I15" s="155" t="n"/>
      <c r="J15" s="155" t="n"/>
      <c r="K15" s="254" t="n"/>
      <c r="L15" s="191" t="n"/>
      <c r="M15" s="191" t="n"/>
      <c r="N15" s="191" t="n"/>
      <c r="O15" s="191" t="n"/>
      <c r="P15" s="191" t="n"/>
      <c r="Q15" s="192" t="n"/>
      <c r="R15" s="196" t="n"/>
      <c r="S15" s="197" t="n"/>
      <c r="T15" s="198" t="n"/>
      <c r="U15" s="203" t="n"/>
      <c r="V15" s="207" t="n"/>
      <c r="W15" s="255" t="n"/>
      <c r="X15" s="256" t="n"/>
      <c r="Y15" s="256" t="n"/>
    </row>
    <row r="16">
      <c r="A16" s="253" t="n"/>
      <c r="B16" s="75" t="n"/>
      <c r="C16" s="154" t="n"/>
      <c r="D16" s="154" t="n"/>
      <c r="E16" s="75" t="n"/>
      <c r="F16" s="155" t="n"/>
      <c r="G16" s="158" t="n"/>
      <c r="H16" s="168" t="n"/>
      <c r="I16" s="155" t="n"/>
      <c r="J16" s="155" t="n"/>
      <c r="K16" s="254" t="n"/>
      <c r="L16" s="191" t="n"/>
      <c r="M16" s="191" t="n"/>
      <c r="N16" s="191" t="n"/>
      <c r="O16" s="191" t="n"/>
      <c r="P16" s="191" t="n"/>
      <c r="Q16" s="192" t="n"/>
      <c r="R16" s="196" t="n"/>
      <c r="S16" s="197" t="n"/>
      <c r="T16" s="198" t="n"/>
      <c r="U16" s="203" t="n"/>
      <c r="V16" s="207" t="n"/>
      <c r="W16" s="255" t="n"/>
      <c r="X16" s="256" t="n"/>
      <c r="Y16" s="256" t="n"/>
    </row>
    <row r="17">
      <c r="A17" s="253" t="n"/>
      <c r="B17" s="75" t="n"/>
      <c r="C17" s="154" t="n"/>
      <c r="D17" s="154" t="n"/>
      <c r="E17" s="75" t="n"/>
      <c r="F17" s="155" t="n"/>
      <c r="G17" s="158" t="n"/>
      <c r="H17" s="168" t="n"/>
      <c r="I17" s="155" t="n"/>
      <c r="J17" s="155" t="n"/>
      <c r="K17" s="254" t="n"/>
      <c r="L17" s="191" t="n"/>
      <c r="M17" s="191" t="n"/>
      <c r="N17" s="191" t="n"/>
      <c r="O17" s="191" t="n"/>
      <c r="P17" s="191" t="n"/>
      <c r="Q17" s="192" t="n"/>
      <c r="R17" s="196" t="n"/>
      <c r="S17" s="197" t="n"/>
      <c r="T17" s="198" t="n"/>
      <c r="U17" s="203" t="n"/>
      <c r="V17" s="207" t="n"/>
      <c r="W17" s="255" t="n"/>
      <c r="X17" s="256" t="n"/>
      <c r="Y17" s="256" t="n"/>
    </row>
    <row r="18">
      <c r="A18" s="253" t="n"/>
      <c r="B18" s="75" t="n"/>
      <c r="C18" s="154" t="n"/>
      <c r="D18" s="154" t="n"/>
      <c r="E18" s="75" t="n"/>
      <c r="F18" s="155" t="n"/>
      <c r="G18" s="158" t="n"/>
      <c r="H18" s="168" t="n"/>
      <c r="I18" s="155" t="n"/>
      <c r="J18" s="155" t="n"/>
      <c r="K18" s="254" t="n"/>
      <c r="L18" s="191" t="n"/>
      <c r="M18" s="191" t="n"/>
      <c r="N18" s="191" t="n"/>
      <c r="O18" s="191" t="n"/>
      <c r="P18" s="191" t="n"/>
      <c r="Q18" s="192" t="n"/>
      <c r="R18" s="196" t="n"/>
      <c r="S18" s="197" t="n"/>
      <c r="T18" s="198" t="n"/>
      <c r="U18" s="203" t="n"/>
      <c r="V18" s="207" t="n"/>
      <c r="W18" s="255" t="n"/>
      <c r="X18" s="256" t="n"/>
      <c r="Y18" s="256" t="n"/>
    </row>
    <row r="19">
      <c r="A19" s="253" t="n"/>
      <c r="B19" s="75" t="n"/>
      <c r="C19" s="154" t="n"/>
      <c r="D19" s="154" t="n"/>
      <c r="E19" s="75" t="n"/>
      <c r="F19" s="155" t="n"/>
      <c r="G19" s="158" t="n"/>
      <c r="H19" s="168" t="n"/>
      <c r="I19" s="155" t="n"/>
      <c r="J19" s="155" t="n"/>
      <c r="K19" s="254" t="n"/>
      <c r="L19" s="191" t="n"/>
      <c r="M19" s="191" t="n"/>
      <c r="N19" s="191" t="n"/>
      <c r="O19" s="191" t="n"/>
      <c r="P19" s="191" t="n"/>
      <c r="Q19" s="192" t="n"/>
      <c r="R19" s="196" t="n"/>
      <c r="S19" s="197" t="n"/>
      <c r="T19" s="198" t="n"/>
      <c r="U19" s="203" t="n"/>
      <c r="V19" s="207" t="n"/>
      <c r="W19" s="255" t="n"/>
      <c r="X19" s="256" t="n"/>
      <c r="Y19" s="256" t="n"/>
    </row>
    <row r="20">
      <c r="A20" s="253" t="n"/>
      <c r="B20" s="75" t="n"/>
      <c r="C20" s="154" t="n"/>
      <c r="D20" s="154" t="n"/>
      <c r="E20" s="75" t="n"/>
      <c r="F20" s="155" t="n"/>
      <c r="G20" s="158" t="n"/>
      <c r="H20" s="168" t="n"/>
      <c r="I20" s="155" t="n"/>
      <c r="J20" s="155" t="n"/>
      <c r="K20" s="254" t="n"/>
      <c r="L20" s="191" t="n"/>
      <c r="M20" s="191" t="n"/>
      <c r="N20" s="191" t="n"/>
      <c r="O20" s="191" t="n"/>
      <c r="P20" s="191" t="n"/>
      <c r="Q20" s="192" t="n"/>
      <c r="R20" s="196" t="n"/>
      <c r="S20" s="197" t="n"/>
      <c r="T20" s="198" t="n"/>
      <c r="U20" s="203" t="n"/>
      <c r="V20" s="207" t="n"/>
      <c r="W20" s="255" t="n"/>
      <c r="X20" s="256" t="n"/>
      <c r="Y20" s="256" t="n"/>
    </row>
    <row r="21" ht="12" customHeight="1" thickBot="1">
      <c r="A21" s="253" t="n"/>
      <c r="B21" s="75" t="n"/>
      <c r="C21" s="154" t="n"/>
      <c r="D21" s="154" t="n"/>
      <c r="E21" s="75" t="n"/>
      <c r="F21" s="155" t="n"/>
      <c r="G21" s="158" t="n"/>
      <c r="H21" s="168" t="n"/>
      <c r="I21" s="155" t="n"/>
      <c r="J21" s="155" t="n"/>
      <c r="K21" s="254" t="n"/>
      <c r="L21" s="191" t="n"/>
      <c r="M21" s="191" t="n"/>
      <c r="N21" s="191" t="n"/>
      <c r="O21" s="191" t="n"/>
      <c r="P21" s="191" t="n"/>
      <c r="Q21" s="192" t="n"/>
      <c r="R21" s="196" t="n"/>
      <c r="S21" s="197" t="n"/>
      <c r="T21" s="198" t="n"/>
      <c r="U21" s="203" t="n"/>
      <c r="V21" s="207" t="n"/>
      <c r="W21" s="255" t="n"/>
      <c r="X21" s="256" t="n"/>
      <c r="Y21" s="256" t="n"/>
    </row>
    <row r="22" ht="13" customFormat="1" customHeight="1" s="78" thickBot="1" thickTop="1">
      <c r="A22" s="165" t="n"/>
      <c r="B22" s="160" t="n"/>
      <c r="C22" s="161" t="n"/>
      <c r="D22" s="161" t="n"/>
      <c r="E22" s="160" t="n"/>
      <c r="F22" s="162" t="n"/>
      <c r="G22" s="163" t="n"/>
      <c r="H22" s="169" t="n"/>
      <c r="I22" s="156" t="n"/>
      <c r="J22" s="156" t="n"/>
      <c r="K22" s="185" t="n"/>
      <c r="L22" s="193" t="n"/>
      <c r="M22" s="193" t="n"/>
      <c r="N22" s="193" t="n"/>
      <c r="O22" s="193" t="n"/>
      <c r="P22" s="193" t="n"/>
      <c r="Q22" s="194" t="n"/>
      <c r="R22" s="194" t="n"/>
      <c r="S22" s="199" t="n"/>
      <c r="T22" s="200" t="n"/>
      <c r="U22" s="204" t="n"/>
      <c r="V22" s="209" t="n"/>
      <c r="W22" s="257" t="n"/>
    </row>
    <row r="23" ht="12" customHeight="1" thickTop="1">
      <c r="B23" s="167" t="n"/>
      <c r="D23" s="146" t="n"/>
      <c r="E23" s="146" t="n"/>
      <c r="F23" s="146" t="n"/>
      <c r="G23" s="166" t="n"/>
      <c r="H23" s="167" t="n"/>
      <c r="L23" s="146" t="n"/>
      <c r="U23" s="167" t="n"/>
    </row>
    <row r="24">
      <c r="C24" s="145" t="n"/>
      <c r="D24" s="146" t="n"/>
      <c r="M24" s="146" t="n"/>
      <c r="O24" s="146" t="n"/>
      <c r="P24" s="146" t="n"/>
    </row>
    <row r="25">
      <c r="C25" s="145" t="n"/>
      <c r="D25" s="145" t="n"/>
      <c r="E25" s="146" t="n"/>
      <c r="F25" s="145" t="n"/>
      <c r="G25" s="146" t="n"/>
      <c r="H25" s="146" t="n"/>
      <c r="I25" s="146" t="n"/>
      <c r="J25" s="146" t="n"/>
      <c r="K25" s="146" t="n"/>
      <c r="L25" s="145" t="n"/>
    </row>
    <row r="26">
      <c r="C26" s="146" t="n"/>
      <c r="D26" s="146" t="n"/>
    </row>
    <row r="27">
      <c r="C27" s="146" t="n"/>
      <c r="D27" s="146" t="n"/>
      <c r="E27" s="258" t="n"/>
    </row>
    <row r="28">
      <c r="C28" s="146" t="n"/>
      <c r="E28" s="258" t="n"/>
    </row>
    <row r="29">
      <c r="C29" s="146" t="n"/>
      <c r="D29" s="146" t="n"/>
    </row>
  </sheetData>
  <mergeCells count="11">
    <mergeCell ref="B2:G2"/>
    <mergeCell ref="H3:H5"/>
    <mergeCell ref="X4:X5"/>
    <mergeCell ref="Y4:Y5"/>
    <mergeCell ref="B1:G1"/>
    <mergeCell ref="A3:A5"/>
    <mergeCell ref="O4:O5"/>
    <mergeCell ref="P4:P5"/>
    <mergeCell ref="L2:P3"/>
    <mergeCell ref="B3:D4"/>
    <mergeCell ref="E3:G4"/>
  </mergeCells>
  <pageMargins left="0.7" right="0.7" top="0.75" bottom="0.75" header="0.3" footer="0.3"/>
  <pageSetup orientation="portrait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topLeftCell="A13" workbookViewId="0">
      <selection activeCell="G17" sqref="G17"/>
    </sheetView>
  </sheetViews>
  <sheetFormatPr baseColWidth="10" defaultColWidth="9.1640625" defaultRowHeight="11"/>
  <cols>
    <col width="9.1640625" customWidth="1" style="79" min="1" max="1"/>
    <col width="21.5" customWidth="1" style="79" min="2" max="2"/>
    <col width="15.5" customWidth="1" style="79" min="3" max="3"/>
    <col width="27.6640625" customWidth="1" style="79" min="4" max="4"/>
    <col width="13.5" customWidth="1" style="79" min="5" max="5"/>
    <col width="17.5" customWidth="1" style="79" min="6" max="6"/>
    <col width="9.1640625" customWidth="1" style="79" min="7" max="7"/>
    <col width="18.33203125" customWidth="1" style="79" min="8" max="9"/>
    <col width="30.5" customWidth="1" style="79" min="10" max="10"/>
    <col width="17.33203125" customWidth="1" style="79" min="11" max="12"/>
    <col width="9.1640625" customWidth="1" style="79" min="13" max="16384"/>
  </cols>
  <sheetData>
    <row r="1" ht="12" customHeight="1" thickBot="1">
      <c r="B1" s="84" t="n"/>
      <c r="C1" s="84" t="n"/>
      <c r="D1" s="84" t="n"/>
      <c r="E1" s="84" t="n"/>
      <c r="F1" s="84" t="n"/>
    </row>
    <row r="2" ht="12" customHeight="1" thickBot="1">
      <c r="A2" s="81" t="n"/>
      <c r="B2" s="230" t="inlineStr">
        <is>
          <t>CHARGEBACKS</t>
        </is>
      </c>
      <c r="C2" s="259" t="n"/>
      <c r="D2" s="259" t="n"/>
      <c r="E2" s="259" t="n"/>
      <c r="F2" s="260" t="n"/>
      <c r="G2" s="80" t="n"/>
      <c r="H2" s="230" t="inlineStr">
        <is>
          <t>REFUNDS</t>
        </is>
      </c>
      <c r="I2" s="259" t="n"/>
      <c r="J2" s="259" t="n"/>
      <c r="K2" s="259" t="n"/>
      <c r="L2" s="260" t="n"/>
    </row>
    <row r="3">
      <c r="A3" s="81" t="n"/>
      <c r="B3" s="233" t="n"/>
      <c r="C3" s="235" t="n"/>
      <c r="D3" s="235" t="n"/>
      <c r="E3" s="235" t="n"/>
      <c r="F3" s="91" t="n"/>
      <c r="G3" s="80" t="n"/>
      <c r="H3" s="233" t="n"/>
      <c r="I3" s="235" t="n"/>
      <c r="J3" s="235" t="n"/>
      <c r="K3" s="235" t="n"/>
      <c r="L3" s="92" t="n"/>
    </row>
    <row r="4" ht="12" customHeight="1" thickBot="1">
      <c r="A4" s="81" t="n"/>
      <c r="B4" s="261" t="n"/>
      <c r="C4" s="6" t="n"/>
      <c r="D4" s="6" t="n"/>
      <c r="E4" s="6" t="n"/>
      <c r="F4" s="262" t="n"/>
      <c r="G4" s="80" t="n"/>
      <c r="H4" s="261" t="n"/>
      <c r="I4" s="6" t="n"/>
      <c r="J4" s="6" t="n"/>
      <c r="K4" s="6" t="n"/>
      <c r="L4" s="262" t="n"/>
    </row>
    <row r="5">
      <c r="A5" s="81" t="n"/>
      <c r="B5" s="94" t="n"/>
      <c r="C5" s="95" t="n"/>
      <c r="D5" s="96" t="n"/>
      <c r="E5" s="97" t="n"/>
      <c r="F5" s="98" t="n"/>
      <c r="G5" s="80" t="n"/>
      <c r="H5" s="94" t="n"/>
      <c r="I5" s="95" t="n"/>
      <c r="J5" s="96" t="n"/>
      <c r="K5" s="97" t="n"/>
      <c r="L5" s="98" t="n"/>
    </row>
    <row r="6">
      <c r="A6" s="81" t="n"/>
      <c r="B6" s="99" t="n"/>
      <c r="C6" s="86" t="n"/>
      <c r="E6" s="100" t="n"/>
      <c r="F6" s="101" t="n"/>
      <c r="G6" s="80" t="n"/>
      <c r="H6" s="99" t="n"/>
      <c r="I6" s="86" t="n"/>
      <c r="K6" s="100" t="n"/>
      <c r="L6" s="101" t="n"/>
    </row>
    <row r="7">
      <c r="A7" s="81" t="n"/>
      <c r="B7" s="99" t="n"/>
      <c r="C7" s="86" t="n"/>
      <c r="E7" s="100" t="n"/>
      <c r="F7" s="101" t="n"/>
      <c r="G7" s="80" t="n"/>
      <c r="H7" s="99" t="n"/>
      <c r="I7" s="86" t="n"/>
      <c r="K7" s="100" t="n"/>
      <c r="L7" s="101" t="n"/>
    </row>
    <row r="8">
      <c r="A8" s="81" t="n"/>
      <c r="B8" s="99" t="n"/>
      <c r="C8" s="86" t="n"/>
      <c r="E8" s="100" t="n"/>
      <c r="F8" s="101" t="n"/>
      <c r="G8" s="80" t="n"/>
      <c r="H8" s="99" t="n"/>
      <c r="I8" s="86" t="n"/>
      <c r="K8" s="100" t="n"/>
      <c r="L8" s="101" t="n"/>
    </row>
    <row r="9">
      <c r="A9" s="81" t="n"/>
      <c r="B9" s="99" t="n"/>
      <c r="C9" s="86" t="n"/>
      <c r="E9" s="100" t="n"/>
      <c r="F9" s="101" t="n"/>
      <c r="G9" s="80" t="n"/>
      <c r="H9" s="99" t="n"/>
      <c r="I9" s="86" t="n"/>
      <c r="K9" s="100" t="n"/>
      <c r="L9" s="101" t="n"/>
    </row>
    <row r="10">
      <c r="A10" s="81" t="n"/>
      <c r="B10" s="99" t="n"/>
      <c r="C10" s="86" t="n"/>
      <c r="E10" s="100" t="n"/>
      <c r="F10" s="101" t="n"/>
      <c r="G10" s="80" t="n"/>
      <c r="H10" s="99" t="n"/>
      <c r="I10" s="86" t="n"/>
      <c r="K10" s="100" t="n"/>
      <c r="L10" s="101" t="n"/>
    </row>
    <row r="11">
      <c r="A11" s="81" t="n"/>
      <c r="B11" s="99" t="n"/>
      <c r="C11" s="86" t="n"/>
      <c r="E11" s="100" t="n"/>
      <c r="F11" s="101" t="n"/>
      <c r="G11" s="80" t="n"/>
      <c r="H11" s="99" t="n"/>
      <c r="I11" s="86" t="n"/>
      <c r="K11" s="100" t="n"/>
      <c r="L11" s="101" t="n"/>
    </row>
    <row r="12">
      <c r="A12" s="81" t="n"/>
      <c r="B12" s="99" t="n"/>
      <c r="C12" s="86" t="n"/>
      <c r="E12" s="100" t="n"/>
      <c r="F12" s="101" t="n"/>
      <c r="G12" s="80" t="n"/>
      <c r="H12" s="99" t="n"/>
      <c r="I12" s="86" t="n"/>
      <c r="K12" s="100" t="n"/>
      <c r="L12" s="101" t="n"/>
    </row>
    <row r="13">
      <c r="A13" s="81" t="n"/>
      <c r="B13" s="99" t="n"/>
      <c r="C13" s="86" t="n"/>
      <c r="E13" s="100" t="n"/>
      <c r="F13" s="101" t="n"/>
      <c r="G13" s="80" t="n"/>
      <c r="H13" s="99" t="n"/>
      <c r="I13" s="86" t="n"/>
      <c r="K13" s="100" t="n"/>
      <c r="L13" s="101" t="n"/>
    </row>
    <row r="14">
      <c r="A14" s="81" t="n"/>
      <c r="B14" s="99" t="n"/>
      <c r="C14" s="86" t="n"/>
      <c r="E14" s="100" t="n"/>
      <c r="F14" s="101" t="n"/>
      <c r="G14" s="80" t="n"/>
      <c r="H14" s="99" t="n"/>
      <c r="I14" s="86" t="n"/>
      <c r="K14" s="100" t="n"/>
      <c r="L14" s="101" t="n"/>
    </row>
    <row r="15">
      <c r="A15" s="81" t="n"/>
      <c r="B15" s="99" t="n"/>
      <c r="C15" s="86" t="n"/>
      <c r="E15" s="100" t="n"/>
      <c r="F15" s="101" t="n"/>
      <c r="G15" s="80" t="n"/>
      <c r="H15" s="99" t="n"/>
      <c r="I15" s="86" t="n"/>
      <c r="K15" s="100" t="n"/>
      <c r="L15" s="101" t="n"/>
    </row>
    <row r="16">
      <c r="A16" s="81" t="n"/>
      <c r="B16" s="99" t="n"/>
      <c r="C16" s="86" t="n"/>
      <c r="E16" s="100" t="n"/>
      <c r="F16" s="101" t="n"/>
      <c r="G16" s="80" t="n"/>
      <c r="H16" s="99" t="n"/>
      <c r="I16" s="86" t="n"/>
      <c r="K16" s="100" t="n"/>
      <c r="L16" s="101" t="n"/>
    </row>
    <row r="17">
      <c r="A17" s="81" t="n"/>
      <c r="B17" s="99" t="n"/>
      <c r="C17" s="86" t="n"/>
      <c r="E17" s="100" t="n"/>
      <c r="F17" s="101" t="n"/>
      <c r="G17" s="80" t="n"/>
      <c r="H17" s="99" t="n"/>
      <c r="I17" s="86" t="n"/>
      <c r="K17" s="100" t="n"/>
      <c r="L17" s="101" t="n"/>
    </row>
    <row r="18">
      <c r="A18" s="81" t="n"/>
      <c r="B18" s="99" t="n"/>
      <c r="C18" s="86" t="n"/>
      <c r="E18" s="100" t="n"/>
      <c r="F18" s="101" t="n"/>
      <c r="G18" s="80" t="n"/>
      <c r="H18" s="99" t="n"/>
      <c r="I18" s="86" t="n"/>
      <c r="K18" s="100" t="n"/>
      <c r="L18" s="101" t="n"/>
    </row>
    <row r="19">
      <c r="A19" s="81" t="n"/>
      <c r="B19" s="99" t="n"/>
      <c r="C19" s="86" t="n"/>
      <c r="E19" s="100" t="n"/>
      <c r="F19" s="101" t="n"/>
      <c r="G19" s="80" t="n"/>
      <c r="H19" s="99" t="n"/>
      <c r="I19" s="86" t="n"/>
      <c r="K19" s="100" t="n"/>
      <c r="L19" s="101" t="n"/>
    </row>
    <row r="20">
      <c r="A20" s="81" t="n"/>
      <c r="B20" s="99" t="n"/>
      <c r="C20" s="86" t="n"/>
      <c r="E20" s="100" t="n"/>
      <c r="F20" s="101" t="n"/>
      <c r="G20" s="80" t="n"/>
      <c r="H20" s="99" t="n"/>
      <c r="I20" s="86" t="n"/>
      <c r="K20" s="100" t="n"/>
      <c r="L20" s="101" t="n"/>
    </row>
    <row r="21">
      <c r="A21" s="81" t="n"/>
      <c r="B21" s="99" t="n"/>
      <c r="C21" s="86" t="n"/>
      <c r="E21" s="100" t="n"/>
      <c r="F21" s="101" t="n"/>
      <c r="G21" s="80" t="n"/>
      <c r="H21" s="99" t="n"/>
      <c r="I21" s="86" t="n"/>
      <c r="K21" s="100" t="n"/>
      <c r="L21" s="101" t="n"/>
    </row>
    <row r="22">
      <c r="A22" s="81" t="n"/>
      <c r="B22" s="99" t="n"/>
      <c r="C22" s="86" t="n"/>
      <c r="E22" s="100" t="n"/>
      <c r="F22" s="101" t="n"/>
      <c r="G22" s="80" t="n"/>
      <c r="H22" s="99" t="n"/>
      <c r="I22" s="86" t="n"/>
      <c r="K22" s="100" t="n"/>
      <c r="L22" s="101" t="n"/>
    </row>
    <row r="23">
      <c r="A23" s="81" t="n"/>
      <c r="B23" s="99" t="n"/>
      <c r="C23" s="86" t="n"/>
      <c r="E23" s="100" t="n"/>
      <c r="F23" s="101" t="n"/>
      <c r="G23" s="80" t="n"/>
      <c r="H23" s="99" t="n"/>
      <c r="I23" s="86" t="n"/>
      <c r="K23" s="100" t="n"/>
      <c r="L23" s="101" t="n"/>
    </row>
    <row r="24">
      <c r="A24" s="81" t="n"/>
      <c r="B24" s="99" t="n"/>
      <c r="C24" s="86" t="n"/>
      <c r="E24" s="100" t="n"/>
      <c r="F24" s="101" t="n"/>
      <c r="G24" s="80" t="n"/>
      <c r="H24" s="99" t="n"/>
      <c r="I24" s="86" t="n"/>
      <c r="K24" s="100" t="n"/>
      <c r="L24" s="101" t="n"/>
    </row>
    <row r="25">
      <c r="A25" s="81" t="n"/>
      <c r="B25" s="99" t="n"/>
      <c r="C25" s="86" t="n"/>
      <c r="E25" s="100" t="n"/>
      <c r="F25" s="101" t="n"/>
      <c r="G25" s="80" t="n"/>
      <c r="H25" s="99" t="n"/>
      <c r="I25" s="86" t="n"/>
      <c r="K25" s="100" t="n"/>
      <c r="L25" s="101" t="n"/>
    </row>
    <row r="26">
      <c r="A26" s="81" t="n"/>
      <c r="B26" s="99" t="n"/>
      <c r="C26" s="86" t="n"/>
      <c r="E26" s="100" t="n"/>
      <c r="F26" s="101" t="n"/>
      <c r="G26" s="80" t="n"/>
      <c r="H26" s="99" t="n"/>
      <c r="I26" s="86" t="n"/>
      <c r="K26" s="100" t="n"/>
      <c r="L26" s="101" t="n"/>
    </row>
    <row r="27">
      <c r="A27" s="81" t="n"/>
      <c r="B27" s="99" t="n"/>
      <c r="C27" s="86" t="n"/>
      <c r="E27" s="100" t="n"/>
      <c r="F27" s="101" t="n"/>
      <c r="G27" s="80" t="n"/>
      <c r="H27" s="99" t="n"/>
      <c r="I27" s="86" t="n"/>
      <c r="K27" s="100" t="n"/>
      <c r="L27" s="101" t="n"/>
    </row>
    <row r="28">
      <c r="A28" s="81" t="n"/>
      <c r="B28" s="99" t="n"/>
      <c r="C28" s="86" t="n"/>
      <c r="E28" s="100" t="n"/>
      <c r="F28" s="101" t="n"/>
      <c r="G28" s="80" t="n"/>
      <c r="H28" s="99" t="n"/>
      <c r="I28" s="86" t="n"/>
      <c r="K28" s="100" t="n"/>
      <c r="L28" s="101" t="n"/>
    </row>
    <row r="29">
      <c r="A29" s="81" t="n"/>
      <c r="B29" s="99" t="n"/>
      <c r="C29" s="86" t="n"/>
      <c r="E29" s="100" t="n"/>
      <c r="F29" s="101" t="n"/>
      <c r="G29" s="80" t="n"/>
      <c r="H29" s="99" t="n"/>
      <c r="I29" s="86" t="n"/>
      <c r="K29" s="100" t="n"/>
      <c r="L29" s="101" t="n"/>
    </row>
    <row r="30">
      <c r="A30" s="81" t="n"/>
      <c r="B30" s="99" t="n"/>
      <c r="C30" s="86" t="n"/>
      <c r="E30" s="100" t="n"/>
      <c r="F30" s="101" t="n"/>
      <c r="G30" s="80" t="n"/>
      <c r="H30" s="99" t="n"/>
      <c r="I30" s="86" t="n"/>
      <c r="K30" s="100" t="n"/>
      <c r="L30" s="101" t="n"/>
    </row>
    <row r="31">
      <c r="A31" s="81" t="n"/>
      <c r="B31" s="99" t="n"/>
      <c r="C31" s="86" t="n"/>
      <c r="E31" s="100" t="n"/>
      <c r="F31" s="101" t="n"/>
      <c r="G31" s="80" t="n"/>
      <c r="H31" s="99" t="n"/>
      <c r="I31" s="86" t="n"/>
      <c r="K31" s="100" t="n"/>
      <c r="L31" s="101" t="n"/>
    </row>
    <row r="32">
      <c r="A32" s="81" t="n"/>
      <c r="B32" s="99" t="n"/>
      <c r="C32" s="86" t="n"/>
      <c r="E32" s="100" t="n"/>
      <c r="F32" s="101" t="n"/>
      <c r="G32" s="80" t="n"/>
      <c r="H32" s="99" t="n"/>
      <c r="I32" s="86" t="n"/>
      <c r="K32" s="100" t="n"/>
      <c r="L32" s="101" t="n"/>
    </row>
    <row r="33">
      <c r="A33" s="81" t="n"/>
      <c r="B33" s="99" t="n"/>
      <c r="C33" s="86" t="n"/>
      <c r="E33" s="100" t="n"/>
      <c r="F33" s="101" t="n"/>
      <c r="G33" s="80" t="n"/>
      <c r="H33" s="99" t="n"/>
      <c r="I33" s="86" t="n"/>
      <c r="K33" s="100" t="n"/>
      <c r="L33" s="101" t="n"/>
    </row>
    <row r="34">
      <c r="A34" s="81" t="n"/>
      <c r="B34" s="99" t="n"/>
      <c r="C34" s="86" t="n"/>
      <c r="E34" s="100" t="n"/>
      <c r="F34" s="101" t="n"/>
      <c r="G34" s="80" t="n"/>
      <c r="H34" s="99" t="n"/>
      <c r="I34" s="86" t="n"/>
      <c r="K34" s="100" t="n"/>
      <c r="L34" s="101" t="n"/>
    </row>
    <row r="35">
      <c r="A35" s="81" t="n"/>
      <c r="B35" s="99" t="n"/>
      <c r="C35" s="86" t="n"/>
      <c r="E35" s="100" t="n"/>
      <c r="F35" s="101" t="n"/>
      <c r="G35" s="80" t="n"/>
      <c r="H35" s="99" t="n"/>
      <c r="I35" s="86" t="n"/>
      <c r="K35" s="100" t="n"/>
      <c r="L35" s="101" t="n"/>
    </row>
    <row r="36">
      <c r="A36" s="81" t="n"/>
      <c r="B36" s="99" t="n"/>
      <c r="C36" s="86" t="n"/>
      <c r="E36" s="100" t="n"/>
      <c r="F36" s="101" t="n"/>
      <c r="G36" s="80" t="n"/>
      <c r="H36" s="99" t="n"/>
      <c r="I36" s="86" t="n"/>
      <c r="K36" s="100" t="n"/>
      <c r="L36" s="101" t="n"/>
    </row>
    <row r="37">
      <c r="A37" s="81" t="n"/>
      <c r="B37" s="99" t="n"/>
      <c r="C37" s="86" t="n"/>
      <c r="E37" s="100" t="n"/>
      <c r="F37" s="101" t="n"/>
      <c r="G37" s="80" t="n"/>
      <c r="H37" s="99" t="n"/>
      <c r="I37" s="86" t="n"/>
      <c r="K37" s="100" t="n"/>
      <c r="L37" s="101" t="n"/>
    </row>
    <row r="38">
      <c r="A38" s="81" t="n"/>
      <c r="B38" s="99" t="n"/>
      <c r="C38" s="86" t="n"/>
      <c r="E38" s="100" t="n"/>
      <c r="F38" s="101" t="n"/>
      <c r="G38" s="80" t="n"/>
      <c r="H38" s="99" t="n"/>
      <c r="I38" s="86" t="n"/>
      <c r="K38" s="100" t="n"/>
      <c r="L38" s="101" t="n"/>
    </row>
    <row r="39">
      <c r="A39" s="81" t="n"/>
      <c r="B39" s="99" t="n"/>
      <c r="C39" s="86" t="n"/>
      <c r="E39" s="100" t="n"/>
      <c r="F39" s="101" t="n"/>
      <c r="G39" s="80" t="n"/>
      <c r="H39" s="99" t="n"/>
      <c r="I39" s="86" t="n"/>
      <c r="K39" s="100" t="n"/>
      <c r="L39" s="101" t="n"/>
    </row>
    <row r="40">
      <c r="A40" s="81" t="n"/>
      <c r="B40" s="99" t="n"/>
      <c r="C40" s="86" t="n"/>
      <c r="E40" s="100" t="n"/>
      <c r="F40" s="101" t="n"/>
      <c r="G40" s="80" t="n"/>
      <c r="H40" s="99" t="n"/>
      <c r="I40" s="86" t="n"/>
      <c r="K40" s="100" t="n"/>
      <c r="L40" s="101" t="n"/>
    </row>
    <row r="41">
      <c r="A41" s="81" t="n"/>
      <c r="B41" s="99" t="n"/>
      <c r="C41" s="86" t="n"/>
      <c r="E41" s="100" t="n"/>
      <c r="F41" s="101" t="n"/>
      <c r="G41" s="80" t="n"/>
      <c r="H41" s="99" t="n"/>
      <c r="I41" s="86" t="n"/>
      <c r="K41" s="100" t="n"/>
      <c r="L41" s="101" t="n"/>
    </row>
    <row r="42">
      <c r="A42" s="81" t="n"/>
      <c r="B42" s="99" t="n"/>
      <c r="C42" s="86" t="n"/>
      <c r="E42" s="100" t="n"/>
      <c r="F42" s="101" t="n"/>
      <c r="G42" s="80" t="n"/>
      <c r="H42" s="99" t="n"/>
      <c r="I42" s="86" t="n"/>
      <c r="K42" s="100" t="n"/>
      <c r="L42" s="101" t="n"/>
    </row>
    <row r="43">
      <c r="A43" s="81" t="n"/>
      <c r="B43" s="99" t="n"/>
      <c r="C43" s="86" t="n"/>
      <c r="E43" s="100" t="n"/>
      <c r="F43" s="101" t="n"/>
      <c r="G43" s="80" t="n"/>
      <c r="H43" s="99" t="n"/>
      <c r="I43" s="86" t="n"/>
      <c r="K43" s="100" t="n"/>
      <c r="L43" s="101" t="n"/>
    </row>
    <row r="44" ht="12" customHeight="1" thickBot="1">
      <c r="A44" s="81" t="n"/>
      <c r="B44" s="102" t="n"/>
      <c r="C44" s="103" t="n"/>
      <c r="D44" s="84" t="n"/>
      <c r="E44" s="104" t="n"/>
      <c r="F44" s="105" t="n"/>
      <c r="G44" s="80" t="n"/>
      <c r="H44" s="102" t="n"/>
      <c r="I44" s="103" t="n"/>
      <c r="J44" s="84" t="n"/>
      <c r="K44" s="104" t="n"/>
      <c r="L44" s="105" t="n"/>
    </row>
    <row r="45" ht="12" customHeight="1" thickBot="1">
      <c r="A45" s="81" t="n"/>
      <c r="B45" s="106" t="n"/>
      <c r="C45" s="107" t="n"/>
      <c r="D45" s="107" t="n"/>
      <c r="E45" s="108" t="n"/>
      <c r="F45" s="109" t="n"/>
      <c r="G45" s="80" t="n"/>
      <c r="H45" s="106" t="n"/>
      <c r="I45" s="107" t="n"/>
      <c r="J45" s="107" t="n"/>
      <c r="K45" s="108" t="n"/>
      <c r="L45" s="109" t="n"/>
    </row>
    <row r="46">
      <c r="B46" s="85" t="n"/>
      <c r="C46" s="85" t="n"/>
      <c r="D46" s="85" t="n"/>
      <c r="E46" s="85" t="n"/>
      <c r="F46" s="85" t="n"/>
    </row>
  </sheetData>
  <mergeCells count="10">
    <mergeCell ref="H2:L2"/>
    <mergeCell ref="B2:F2"/>
    <mergeCell ref="K3:K4"/>
    <mergeCell ref="C3:C4"/>
    <mergeCell ref="B3:B4"/>
    <mergeCell ref="E3:E4"/>
    <mergeCell ref="H3:H4"/>
    <mergeCell ref="I3:I4"/>
    <mergeCell ref="D3:D4"/>
    <mergeCell ref="J3:J4"/>
  </mergeCells>
  <pageMargins left="0.7" right="0.7" top="0.75" bottom="0.75" header="0.3" footer="0.3"/>
  <pageSetup orientation="portrait" paperSize="9" horizontalDpi="1200" verticalDpi="12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18"/>
  <sheetViews>
    <sheetView showGridLines="0" zoomScaleNormal="100" workbookViewId="0">
      <pane ySplit="1" topLeftCell="A2" activePane="bottomLeft" state="frozen"/>
      <selection pane="bottomLeft" activeCell="B1822" sqref="B1822"/>
    </sheetView>
  </sheetViews>
  <sheetFormatPr baseColWidth="10" defaultColWidth="12.6640625" defaultRowHeight="13" customHeight="1"/>
  <cols>
    <col width="22.6640625" bestFit="1" customWidth="1" style="28" min="1" max="1"/>
    <col width="21.5" customWidth="1" style="138" min="2" max="2"/>
    <col width="19.5" bestFit="1" customWidth="1" style="28" min="3" max="3"/>
    <col width="12.6640625" customWidth="1" style="75" min="4" max="4"/>
    <col width="22.33203125" bestFit="1" customWidth="1" style="28" min="5" max="5"/>
    <col width="16.33203125" customWidth="1" style="258" min="6" max="6"/>
    <col width="13.6640625" customWidth="1" style="28" min="7" max="7"/>
    <col width="12.6640625" customWidth="1" style="263" min="8" max="8"/>
    <col width="12.6640625" customWidth="1" style="28" min="9" max="9"/>
    <col width="12.6640625" customWidth="1" style="264" min="10" max="10"/>
    <col width="12.6640625" customWidth="1" style="265" min="11" max="11"/>
    <col width="13.1640625" bestFit="1" customWidth="1" style="28" min="12" max="12"/>
    <col width="12.6640625" customWidth="1" style="28" min="13" max="16384"/>
  </cols>
  <sheetData>
    <row r="1" ht="13" customFormat="1" customHeight="1" s="128">
      <c r="A1" s="129" t="inlineStr">
        <is>
          <t>merchant name</t>
        </is>
      </c>
      <c r="B1" s="130" t="inlineStr">
        <is>
          <t>external id 
 payment id</t>
        </is>
      </c>
      <c r="C1" s="129" t="inlineStr">
        <is>
          <t>customer name</t>
        </is>
      </c>
      <c r="D1" s="130" t="inlineStr">
        <is>
          <t>status</t>
        </is>
      </c>
      <c r="E1" s="129" t="inlineStr">
        <is>
          <t>Eurozone/Non-Eurozone</t>
        </is>
      </c>
      <c r="F1" s="266" t="inlineStr">
        <is>
          <t>transaction created at</t>
        </is>
      </c>
      <c r="G1" s="129" t="inlineStr">
        <is>
          <t>currency</t>
        </is>
      </c>
      <c r="H1" s="267" t="inlineStr">
        <is>
          <t>Amount</t>
        </is>
      </c>
      <c r="I1" s="129" t="inlineStr">
        <is>
          <t>ECB rate</t>
        </is>
      </c>
      <c r="J1" s="268" t="inlineStr">
        <is>
          <t>Adjusted ECB</t>
        </is>
      </c>
      <c r="K1" s="267" t="inlineStr">
        <is>
          <t xml:space="preserve">Amount in EUR </t>
        </is>
      </c>
    </row>
    <row r="2" ht="13" customHeight="1">
      <c r="B2" s="75" t="n"/>
      <c r="C2" s="218" t="n"/>
      <c r="E2" s="75" t="n"/>
      <c r="G2" s="75" t="n"/>
      <c r="H2" s="28" t="n"/>
      <c r="J2" s="269" t="n"/>
      <c r="K2" s="270" t="n"/>
    </row>
    <row r="3" ht="13" customHeight="1">
      <c r="B3" s="75" t="n"/>
      <c r="C3" s="218" t="n"/>
      <c r="E3" s="75" t="n"/>
      <c r="G3" s="75" t="n"/>
      <c r="H3" s="28" t="n"/>
      <c r="J3" s="269" t="n"/>
      <c r="K3" s="270" t="n"/>
    </row>
    <row r="4" ht="13" customHeight="1">
      <c r="B4" s="75" t="n"/>
      <c r="C4" s="218" t="n"/>
      <c r="E4" s="75" t="n"/>
      <c r="G4" s="75" t="n"/>
      <c r="H4" s="28" t="n"/>
      <c r="J4" s="269" t="n"/>
      <c r="K4" s="270" t="n"/>
    </row>
    <row r="5" ht="13" customHeight="1">
      <c r="B5" s="75" t="n"/>
      <c r="E5" s="75" t="n"/>
      <c r="G5" s="75" t="n"/>
      <c r="H5" s="28" t="n"/>
      <c r="J5" s="269" t="n"/>
      <c r="K5" s="270" t="n"/>
    </row>
    <row r="6" ht="13" customHeight="1">
      <c r="B6" s="75" t="n"/>
      <c r="C6" s="218" t="n"/>
      <c r="E6" s="75" t="n"/>
      <c r="G6" s="75" t="n"/>
      <c r="H6" s="28" t="n"/>
      <c r="J6" s="269" t="n"/>
      <c r="K6" s="270" t="n"/>
    </row>
    <row r="7" ht="13" customHeight="1">
      <c r="B7" s="75" t="n"/>
      <c r="E7" s="75" t="n"/>
      <c r="G7" s="75" t="n"/>
      <c r="H7" s="28" t="n"/>
      <c r="J7" s="269" t="n"/>
      <c r="K7" s="270" t="n"/>
    </row>
    <row r="8" ht="13" customHeight="1">
      <c r="B8" s="75" t="n"/>
      <c r="E8" s="75" t="n"/>
      <c r="G8" s="75" t="n"/>
      <c r="H8" s="28" t="n"/>
      <c r="J8" s="269" t="n"/>
      <c r="K8" s="270" t="n"/>
    </row>
    <row r="9" ht="13" customHeight="1">
      <c r="B9" s="75" t="n"/>
      <c r="C9" s="218" t="n"/>
      <c r="E9" s="75" t="n"/>
      <c r="G9" s="75" t="n"/>
      <c r="H9" s="28" t="n"/>
      <c r="J9" s="269" t="n"/>
      <c r="K9" s="270" t="n"/>
    </row>
    <row r="10" ht="13" customHeight="1">
      <c r="B10" s="75" t="n"/>
      <c r="E10" s="75" t="n"/>
      <c r="G10" s="75" t="n"/>
      <c r="H10" s="28" t="n"/>
      <c r="J10" s="269" t="n"/>
      <c r="K10" s="270" t="n"/>
    </row>
    <row r="11" ht="13" customHeight="1">
      <c r="B11" s="75" t="n"/>
      <c r="C11" s="218" t="n"/>
      <c r="E11" s="75" t="n"/>
      <c r="G11" s="75" t="n"/>
      <c r="H11" s="28" t="n"/>
      <c r="J11" s="269" t="n"/>
      <c r="K11" s="270" t="n"/>
    </row>
    <row r="12" ht="13" customHeight="1">
      <c r="B12" s="75" t="n"/>
      <c r="C12" s="218" t="n"/>
      <c r="E12" s="75" t="n"/>
      <c r="G12" s="75" t="n"/>
      <c r="H12" s="28" t="n"/>
      <c r="J12" s="269" t="n"/>
      <c r="K12" s="270" t="n"/>
    </row>
    <row r="13" ht="13" customHeight="1">
      <c r="B13" s="75" t="n"/>
      <c r="C13" s="218" t="n"/>
      <c r="E13" s="75" t="n"/>
      <c r="G13" s="75" t="n"/>
      <c r="H13" s="28" t="n"/>
      <c r="J13" s="269" t="n"/>
      <c r="K13" s="270" t="n"/>
    </row>
    <row r="14" ht="13" customHeight="1">
      <c r="B14" s="75" t="n"/>
      <c r="E14" s="75" t="n"/>
      <c r="G14" s="75" t="n"/>
      <c r="H14" s="28" t="n"/>
      <c r="J14" s="269" t="n"/>
      <c r="K14" s="270" t="n"/>
    </row>
    <row r="15" ht="13" customHeight="1">
      <c r="B15" s="75" t="n"/>
      <c r="C15" s="218" t="n"/>
      <c r="E15" s="75" t="n"/>
      <c r="G15" s="75" t="n"/>
      <c r="H15" s="28" t="n"/>
      <c r="J15" s="269" t="n"/>
      <c r="K15" s="270" t="n"/>
    </row>
    <row r="16" ht="13" customHeight="1">
      <c r="B16" s="75" t="n"/>
      <c r="E16" s="75" t="n"/>
      <c r="G16" s="75" t="n"/>
      <c r="H16" s="28" t="n"/>
      <c r="J16" s="269" t="n"/>
      <c r="K16" s="270" t="n"/>
    </row>
    <row r="17" ht="13" customHeight="1">
      <c r="B17" s="75" t="n"/>
      <c r="C17" s="218" t="n"/>
      <c r="E17" s="75" t="n"/>
      <c r="G17" s="75" t="n"/>
      <c r="H17" s="28" t="n"/>
      <c r="J17" s="269" t="n"/>
      <c r="K17" s="270" t="n"/>
    </row>
    <row r="18" ht="13" customHeight="1">
      <c r="B18" s="75" t="n"/>
      <c r="E18" s="75" t="n"/>
      <c r="G18" s="75" t="n"/>
      <c r="H18" s="28" t="n"/>
      <c r="J18" s="269" t="n"/>
      <c r="K18" s="270" t="n"/>
    </row>
    <row r="19" ht="13" customHeight="1">
      <c r="B19" s="75" t="n"/>
      <c r="C19" s="218" t="n"/>
      <c r="E19" s="75" t="n"/>
      <c r="G19" s="75" t="n"/>
      <c r="H19" s="28" t="n"/>
      <c r="J19" s="269" t="n"/>
      <c r="K19" s="270" t="n"/>
    </row>
    <row r="20" ht="13" customHeight="1">
      <c r="B20" s="75" t="n"/>
      <c r="C20" s="218" t="n"/>
      <c r="E20" s="75" t="n"/>
      <c r="G20" s="75" t="n"/>
      <c r="H20" s="28" t="n"/>
      <c r="J20" s="269" t="n"/>
      <c r="K20" s="270" t="n"/>
    </row>
    <row r="21" ht="13" customHeight="1">
      <c r="B21" s="75" t="n"/>
      <c r="C21" s="218" t="n"/>
      <c r="E21" s="75" t="n"/>
      <c r="G21" s="75" t="n"/>
      <c r="H21" s="28" t="n"/>
      <c r="J21" s="269" t="n"/>
      <c r="K21" s="270" t="n"/>
    </row>
    <row r="22" ht="13" customHeight="1">
      <c r="B22" s="75" t="n"/>
      <c r="C22" s="218" t="n"/>
      <c r="E22" s="75" t="n"/>
      <c r="G22" s="75" t="n"/>
      <c r="H22" s="28" t="n"/>
      <c r="J22" s="269" t="n"/>
      <c r="K22" s="270" t="n"/>
    </row>
    <row r="23" ht="13" customHeight="1">
      <c r="B23" s="75" t="n"/>
      <c r="C23" s="218" t="n"/>
      <c r="E23" s="75" t="n"/>
      <c r="G23" s="75" t="n"/>
      <c r="H23" s="28" t="n"/>
      <c r="J23" s="269" t="n"/>
      <c r="K23" s="270" t="n"/>
    </row>
    <row r="24" ht="13" customHeight="1">
      <c r="B24" s="75" t="n"/>
      <c r="C24" s="218" t="n"/>
      <c r="E24" s="75" t="n"/>
      <c r="G24" s="75" t="n"/>
      <c r="H24" s="28" t="n"/>
      <c r="J24" s="269" t="n"/>
      <c r="K24" s="270" t="n"/>
    </row>
    <row r="25" ht="13" customHeight="1">
      <c r="B25" s="75" t="n"/>
      <c r="C25" s="218" t="n"/>
      <c r="E25" s="75" t="n"/>
      <c r="G25" s="75" t="n"/>
      <c r="H25" s="28" t="n"/>
      <c r="J25" s="269" t="n"/>
      <c r="K25" s="270" t="n"/>
    </row>
    <row r="26" ht="13" customHeight="1">
      <c r="B26" s="75" t="n"/>
      <c r="E26" s="75" t="n"/>
      <c r="G26" s="75" t="n"/>
      <c r="H26" s="28" t="n"/>
      <c r="J26" s="269" t="n"/>
      <c r="K26" s="270" t="n"/>
    </row>
    <row r="27" ht="13" customHeight="1">
      <c r="B27" s="75" t="n"/>
      <c r="C27" s="218" t="n"/>
      <c r="E27" s="75" t="n"/>
      <c r="G27" s="75" t="n"/>
      <c r="H27" s="28" t="n"/>
      <c r="J27" s="269" t="n"/>
      <c r="K27" s="270" t="n"/>
    </row>
    <row r="28" ht="13" customHeight="1">
      <c r="B28" s="75" t="n"/>
      <c r="E28" s="75" t="n"/>
      <c r="G28" s="75" t="n"/>
      <c r="H28" s="28" t="n"/>
      <c r="J28" s="269" t="n"/>
      <c r="K28" s="270" t="n"/>
    </row>
    <row r="29" ht="13" customHeight="1">
      <c r="B29" s="75" t="n"/>
      <c r="E29" s="75" t="n"/>
      <c r="G29" s="75" t="n"/>
      <c r="H29" s="28" t="n"/>
      <c r="J29" s="269" t="n"/>
      <c r="K29" s="270" t="n"/>
    </row>
    <row r="30" ht="13" customHeight="1">
      <c r="B30" s="75" t="n"/>
      <c r="C30" s="218" t="n"/>
      <c r="E30" s="75" t="n"/>
      <c r="G30" s="75" t="n"/>
      <c r="H30" s="28" t="n"/>
      <c r="J30" s="269" t="n"/>
      <c r="K30" s="270" t="n"/>
    </row>
    <row r="31" ht="13" customHeight="1">
      <c r="B31" s="75" t="n"/>
      <c r="C31" s="218" t="n"/>
      <c r="E31" s="75" t="n"/>
      <c r="G31" s="75" t="n"/>
      <c r="H31" s="28" t="n"/>
      <c r="J31" s="269" t="n"/>
      <c r="K31" s="270" t="n"/>
    </row>
    <row r="32" ht="13" customHeight="1">
      <c r="B32" s="75" t="n"/>
      <c r="C32" s="218" t="n"/>
      <c r="E32" s="75" t="n"/>
      <c r="G32" s="75" t="n"/>
      <c r="H32" s="28" t="n"/>
      <c r="J32" s="269" t="n"/>
      <c r="K32" s="270" t="n"/>
    </row>
    <row r="33" ht="13" customHeight="1">
      <c r="B33" s="75" t="n"/>
      <c r="C33" s="218" t="n"/>
      <c r="E33" s="75" t="n"/>
      <c r="G33" s="75" t="n"/>
      <c r="H33" s="28" t="n"/>
      <c r="J33" s="269" t="n"/>
      <c r="K33" s="270" t="n"/>
    </row>
    <row r="34" ht="13" customHeight="1">
      <c r="B34" s="75" t="n"/>
      <c r="E34" s="75" t="n"/>
      <c r="G34" s="75" t="n"/>
      <c r="H34" s="28" t="n"/>
      <c r="J34" s="269" t="n"/>
      <c r="K34" s="270" t="n"/>
    </row>
    <row r="35" ht="13" customHeight="1">
      <c r="B35" s="75" t="n"/>
      <c r="C35" s="218" t="n"/>
      <c r="E35" s="75" t="n"/>
      <c r="G35" s="75" t="n"/>
      <c r="H35" s="28" t="n"/>
      <c r="J35" s="269" t="n"/>
      <c r="K35" s="270" t="n"/>
    </row>
    <row r="36" ht="13" customHeight="1">
      <c r="B36" s="75" t="n"/>
      <c r="E36" s="75" t="n"/>
      <c r="G36" s="75" t="n"/>
      <c r="H36" s="28" t="n"/>
      <c r="J36" s="269" t="n"/>
      <c r="K36" s="270" t="n"/>
    </row>
    <row r="37" ht="13" customHeight="1">
      <c r="B37" s="75" t="n"/>
      <c r="C37" s="218" t="n"/>
      <c r="E37" s="75" t="n"/>
      <c r="G37" s="75" t="n"/>
      <c r="H37" s="28" t="n"/>
      <c r="J37" s="269" t="n"/>
      <c r="K37" s="270" t="n"/>
    </row>
    <row r="38" ht="13" customHeight="1">
      <c r="B38" s="75" t="n"/>
      <c r="E38" s="75" t="n"/>
      <c r="G38" s="75" t="n"/>
      <c r="H38" s="28" t="n"/>
      <c r="J38" s="269" t="n"/>
      <c r="K38" s="270" t="n"/>
    </row>
    <row r="39" ht="13" customHeight="1">
      <c r="B39" s="75" t="n"/>
      <c r="E39" s="75" t="n"/>
      <c r="G39" s="75" t="n"/>
      <c r="H39" s="28" t="n"/>
      <c r="J39" s="269" t="n"/>
      <c r="K39" s="270" t="n"/>
    </row>
    <row r="40" ht="13" customHeight="1">
      <c r="B40" s="75" t="n"/>
      <c r="E40" s="75" t="n"/>
      <c r="G40" s="75" t="n"/>
      <c r="H40" s="28" t="n"/>
      <c r="J40" s="269" t="n"/>
      <c r="K40" s="270" t="n"/>
    </row>
    <row r="41" ht="13" customHeight="1">
      <c r="B41" s="75" t="n"/>
      <c r="E41" s="75" t="n"/>
      <c r="G41" s="75" t="n"/>
      <c r="H41" s="28" t="n"/>
      <c r="J41" s="269" t="n"/>
      <c r="K41" s="270" t="n"/>
    </row>
    <row r="42" ht="13" customHeight="1">
      <c r="B42" s="75" t="n"/>
      <c r="C42" s="218" t="n"/>
      <c r="E42" s="75" t="n"/>
      <c r="G42" s="75" t="n"/>
      <c r="H42" s="28" t="n"/>
      <c r="J42" s="269" t="n"/>
      <c r="K42" s="270" t="n"/>
    </row>
    <row r="43" ht="13" customHeight="1">
      <c r="B43" s="75" t="n"/>
      <c r="E43" s="75" t="n"/>
      <c r="G43" s="75" t="n"/>
      <c r="H43" s="28" t="n"/>
      <c r="J43" s="269" t="n"/>
      <c r="K43" s="270" t="n"/>
    </row>
    <row r="44" ht="13" customHeight="1">
      <c r="B44" s="75" t="n"/>
      <c r="E44" s="75" t="n"/>
      <c r="G44" s="75" t="n"/>
      <c r="H44" s="28" t="n"/>
      <c r="J44" s="269" t="n"/>
      <c r="K44" s="270" t="n"/>
    </row>
    <row r="45" ht="13" customHeight="1">
      <c r="B45" s="75" t="n"/>
      <c r="E45" s="75" t="n"/>
      <c r="G45" s="75" t="n"/>
      <c r="H45" s="28" t="n"/>
      <c r="J45" s="269" t="n"/>
      <c r="K45" s="270" t="n"/>
    </row>
    <row r="46" ht="13" customHeight="1">
      <c r="B46" s="75" t="n"/>
      <c r="E46" s="75" t="n"/>
      <c r="G46" s="75" t="n"/>
      <c r="H46" s="28" t="n"/>
      <c r="J46" s="269" t="n"/>
      <c r="K46" s="270" t="n"/>
    </row>
    <row r="47" ht="13" customHeight="1">
      <c r="B47" s="75" t="n"/>
      <c r="C47" s="218" t="n"/>
      <c r="E47" s="75" t="n"/>
      <c r="G47" s="75" t="n"/>
      <c r="H47" s="28" t="n"/>
      <c r="J47" s="269" t="n"/>
      <c r="K47" s="270" t="n"/>
    </row>
    <row r="48" ht="13" customHeight="1">
      <c r="B48" s="75" t="n"/>
      <c r="C48" s="218" t="n"/>
      <c r="E48" s="75" t="n"/>
      <c r="G48" s="75" t="n"/>
      <c r="H48" s="28" t="n"/>
      <c r="J48" s="269" t="n"/>
      <c r="K48" s="270" t="n"/>
    </row>
    <row r="49" ht="13" customHeight="1">
      <c r="B49" s="75" t="n"/>
      <c r="E49" s="75" t="n"/>
      <c r="G49" s="75" t="n"/>
      <c r="H49" s="28" t="n"/>
      <c r="J49" s="269" t="n"/>
      <c r="K49" s="270" t="n"/>
    </row>
    <row r="50" ht="13" customHeight="1">
      <c r="B50" s="75" t="n"/>
      <c r="E50" s="75" t="n"/>
      <c r="G50" s="75" t="n"/>
      <c r="H50" s="28" t="n"/>
      <c r="J50" s="269" t="n"/>
      <c r="K50" s="270" t="n"/>
    </row>
    <row r="51" ht="13" customHeight="1">
      <c r="B51" s="75" t="n"/>
      <c r="E51" s="75" t="n"/>
      <c r="G51" s="75" t="n"/>
      <c r="H51" s="28" t="n"/>
      <c r="J51" s="269" t="n"/>
      <c r="K51" s="270" t="n"/>
    </row>
    <row r="52" ht="13" customHeight="1">
      <c r="B52" s="75" t="n"/>
      <c r="E52" s="75" t="n"/>
      <c r="G52" s="75" t="n"/>
      <c r="H52" s="28" t="n"/>
      <c r="J52" s="269" t="n"/>
      <c r="K52" s="270" t="n"/>
    </row>
    <row r="53" ht="13" customHeight="1">
      <c r="B53" s="75" t="n"/>
      <c r="E53" s="75" t="n"/>
      <c r="G53" s="75" t="n"/>
      <c r="H53" s="28" t="n"/>
      <c r="J53" s="269" t="n"/>
      <c r="K53" s="270" t="n"/>
    </row>
    <row r="54" ht="13" customHeight="1">
      <c r="B54" s="75" t="n"/>
      <c r="C54" s="218" t="n"/>
      <c r="E54" s="75" t="n"/>
      <c r="G54" s="75" t="n"/>
      <c r="H54" s="28" t="n"/>
      <c r="J54" s="269" t="n"/>
      <c r="K54" s="270" t="n"/>
    </row>
    <row r="55" ht="13" customHeight="1">
      <c r="B55" s="75" t="n"/>
      <c r="E55" s="75" t="n"/>
      <c r="G55" s="75" t="n"/>
      <c r="H55" s="28" t="n"/>
      <c r="J55" s="269" t="n"/>
      <c r="K55" s="270" t="n"/>
    </row>
    <row r="56" ht="13" customHeight="1">
      <c r="B56" s="75" t="n"/>
      <c r="E56" s="75" t="n"/>
      <c r="G56" s="75" t="n"/>
      <c r="H56" s="28" t="n"/>
      <c r="J56" s="269" t="n"/>
      <c r="K56" s="270" t="n"/>
    </row>
    <row r="57" ht="13" customHeight="1">
      <c r="B57" s="75" t="n"/>
      <c r="C57" s="218" t="n"/>
      <c r="E57" s="75" t="n"/>
      <c r="G57" s="75" t="n"/>
      <c r="H57" s="28" t="n"/>
      <c r="J57" s="269" t="n"/>
      <c r="K57" s="270" t="n"/>
    </row>
    <row r="58" ht="13" customHeight="1">
      <c r="B58" s="75" t="n"/>
      <c r="E58" s="75" t="n"/>
      <c r="G58" s="75" t="n"/>
      <c r="H58" s="28" t="n"/>
      <c r="J58" s="269" t="n"/>
      <c r="K58" s="270" t="n"/>
    </row>
    <row r="59" ht="13" customHeight="1">
      <c r="B59" s="75" t="n"/>
      <c r="E59" s="75" t="n"/>
      <c r="G59" s="75" t="n"/>
      <c r="H59" s="28" t="n"/>
      <c r="J59" s="269" t="n"/>
      <c r="K59" s="270" t="n"/>
    </row>
    <row r="60" ht="13" customHeight="1">
      <c r="B60" s="75" t="n"/>
      <c r="C60" s="218" t="n"/>
      <c r="E60" s="75" t="n"/>
      <c r="G60" s="75" t="n"/>
      <c r="H60" s="28" t="n"/>
      <c r="J60" s="269" t="n"/>
      <c r="K60" s="270" t="n"/>
    </row>
    <row r="61" ht="13" customHeight="1">
      <c r="B61" s="75" t="n"/>
      <c r="E61" s="75" t="n"/>
      <c r="G61" s="75" t="n"/>
      <c r="H61" s="28" t="n"/>
      <c r="J61" s="269" t="n"/>
      <c r="K61" s="270" t="n"/>
    </row>
    <row r="62" ht="13" customHeight="1">
      <c r="B62" s="75" t="n"/>
      <c r="C62" s="218" t="n"/>
      <c r="E62" s="75" t="n"/>
      <c r="G62" s="75" t="n"/>
      <c r="H62" s="28" t="n"/>
      <c r="J62" s="269" t="n"/>
      <c r="K62" s="270" t="n"/>
    </row>
    <row r="63" ht="13" customHeight="1">
      <c r="B63" s="75" t="n"/>
      <c r="E63" s="75" t="n"/>
      <c r="G63" s="75" t="n"/>
      <c r="H63" s="28" t="n"/>
      <c r="J63" s="269" t="n"/>
      <c r="K63" s="270" t="n"/>
    </row>
    <row r="64" ht="13" customHeight="1">
      <c r="B64" s="75" t="n"/>
      <c r="E64" s="75" t="n"/>
      <c r="G64" s="75" t="n"/>
      <c r="H64" s="28" t="n"/>
      <c r="J64" s="269" t="n"/>
      <c r="K64" s="270" t="n"/>
    </row>
    <row r="65" ht="13" customHeight="1">
      <c r="B65" s="75" t="n"/>
      <c r="C65" s="218" t="n"/>
      <c r="E65" s="75" t="n"/>
      <c r="G65" s="75" t="n"/>
      <c r="H65" s="28" t="n"/>
      <c r="J65" s="269" t="n"/>
      <c r="K65" s="270" t="n"/>
    </row>
    <row r="66" ht="13" customHeight="1">
      <c r="B66" s="75" t="n"/>
      <c r="E66" s="75" t="n"/>
      <c r="G66" s="75" t="n"/>
      <c r="H66" s="28" t="n"/>
      <c r="J66" s="269" t="n"/>
      <c r="K66" s="270" t="n"/>
    </row>
    <row r="67" ht="13" customHeight="1">
      <c r="B67" s="75" t="n"/>
      <c r="C67" s="218" t="n"/>
      <c r="E67" s="75" t="n"/>
      <c r="G67" s="75" t="n"/>
      <c r="H67" s="28" t="n"/>
      <c r="J67" s="269" t="n"/>
      <c r="K67" s="270" t="n"/>
    </row>
    <row r="68" ht="13" customHeight="1">
      <c r="B68" s="75" t="n"/>
      <c r="C68" s="218" t="n"/>
      <c r="E68" s="75" t="n"/>
      <c r="G68" s="75" t="n"/>
      <c r="H68" s="28" t="n"/>
      <c r="J68" s="269" t="n"/>
      <c r="K68" s="270" t="n"/>
    </row>
    <row r="69" ht="13" customHeight="1">
      <c r="B69" s="75" t="n"/>
      <c r="C69" s="218" t="n"/>
      <c r="E69" s="75" t="n"/>
      <c r="G69" s="75" t="n"/>
      <c r="H69" s="28" t="n"/>
      <c r="J69" s="269" t="n"/>
      <c r="K69" s="270" t="n"/>
    </row>
    <row r="70" ht="13" customHeight="1">
      <c r="B70" s="75" t="n"/>
      <c r="C70" s="218" t="n"/>
      <c r="E70" s="75" t="n"/>
      <c r="G70" s="75" t="n"/>
      <c r="H70" s="28" t="n"/>
      <c r="J70" s="269" t="n"/>
      <c r="K70" s="270" t="n"/>
    </row>
    <row r="71" ht="13" customHeight="1">
      <c r="B71" s="75" t="n"/>
      <c r="C71" s="218" t="n"/>
      <c r="E71" s="75" t="n"/>
      <c r="G71" s="75" t="n"/>
      <c r="H71" s="28" t="n"/>
      <c r="J71" s="269" t="n"/>
      <c r="K71" s="270" t="n"/>
    </row>
    <row r="72" ht="13" customHeight="1">
      <c r="B72" s="75" t="n"/>
      <c r="C72" s="218" t="n"/>
      <c r="E72" s="75" t="n"/>
      <c r="G72" s="75" t="n"/>
      <c r="H72" s="28" t="n"/>
      <c r="J72" s="269" t="n"/>
      <c r="K72" s="270" t="n"/>
    </row>
    <row r="73" ht="13" customHeight="1">
      <c r="B73" s="75" t="n"/>
      <c r="C73" s="218" t="n"/>
      <c r="E73" s="75" t="n"/>
      <c r="G73" s="75" t="n"/>
      <c r="H73" s="28" t="n"/>
      <c r="J73" s="269" t="n"/>
      <c r="K73" s="270" t="n"/>
    </row>
    <row r="74" ht="13" customHeight="1">
      <c r="B74" s="75" t="n"/>
      <c r="C74" s="218" t="n"/>
      <c r="E74" s="75" t="n"/>
      <c r="G74" s="75" t="n"/>
      <c r="H74" s="28" t="n"/>
      <c r="J74" s="269" t="n"/>
      <c r="K74" s="270" t="n"/>
    </row>
    <row r="75" ht="13" customHeight="1">
      <c r="B75" s="75" t="n"/>
      <c r="C75" s="218" t="n"/>
      <c r="E75" s="75" t="n"/>
      <c r="G75" s="75" t="n"/>
      <c r="H75" s="28" t="n"/>
      <c r="J75" s="269" t="n"/>
      <c r="K75" s="270" t="n"/>
    </row>
    <row r="76" ht="13" customHeight="1">
      <c r="B76" s="75" t="n"/>
      <c r="C76" s="218" t="n"/>
      <c r="E76" s="75" t="n"/>
      <c r="G76" s="75" t="n"/>
      <c r="H76" s="28" t="n"/>
      <c r="J76" s="269" t="n"/>
      <c r="K76" s="270" t="n"/>
    </row>
    <row r="77" ht="13" customHeight="1">
      <c r="B77" s="75" t="n"/>
      <c r="C77" s="218" t="n"/>
      <c r="E77" s="75" t="n"/>
      <c r="G77" s="75" t="n"/>
      <c r="H77" s="28" t="n"/>
      <c r="J77" s="269" t="n"/>
      <c r="K77" s="270" t="n"/>
    </row>
    <row r="78" ht="13" customHeight="1">
      <c r="B78" s="75" t="n"/>
      <c r="C78" s="218" t="n"/>
      <c r="E78" s="75" t="n"/>
      <c r="G78" s="75" t="n"/>
      <c r="H78" s="28" t="n"/>
      <c r="J78" s="269" t="n"/>
      <c r="K78" s="270" t="n"/>
    </row>
    <row r="79" ht="13" customHeight="1">
      <c r="B79" s="75" t="n"/>
      <c r="E79" s="75" t="n"/>
      <c r="G79" s="75" t="n"/>
      <c r="H79" s="28" t="n"/>
      <c r="J79" s="269" t="n"/>
      <c r="K79" s="270" t="n"/>
    </row>
    <row r="80" ht="13" customHeight="1">
      <c r="B80" s="75" t="n"/>
      <c r="E80" s="75" t="n"/>
      <c r="G80" s="75" t="n"/>
      <c r="H80" s="28" t="n"/>
      <c r="J80" s="269" t="n"/>
      <c r="K80" s="270" t="n"/>
    </row>
    <row r="81" ht="13" customHeight="1">
      <c r="B81" s="75" t="n"/>
      <c r="E81" s="75" t="n"/>
      <c r="G81" s="75" t="n"/>
      <c r="H81" s="28" t="n"/>
      <c r="J81" s="269" t="n"/>
      <c r="K81" s="270" t="n"/>
    </row>
    <row r="82" ht="13" customHeight="1">
      <c r="B82" s="75" t="n"/>
      <c r="E82" s="75" t="n"/>
      <c r="G82" s="75" t="n"/>
      <c r="H82" s="28" t="n"/>
      <c r="J82" s="269" t="n"/>
      <c r="K82" s="270" t="n"/>
    </row>
    <row r="83" ht="13" customHeight="1">
      <c r="B83" s="75" t="n"/>
      <c r="C83" s="218" t="n"/>
      <c r="E83" s="75" t="n"/>
      <c r="G83" s="75" t="n"/>
      <c r="H83" s="28" t="n"/>
      <c r="J83" s="269" t="n"/>
      <c r="K83" s="270" t="n"/>
    </row>
    <row r="84" ht="13" customHeight="1">
      <c r="B84" s="75" t="n"/>
      <c r="E84" s="75" t="n"/>
      <c r="G84" s="75" t="n"/>
      <c r="H84" s="28" t="n"/>
      <c r="J84" s="269" t="n"/>
      <c r="K84" s="270" t="n"/>
    </row>
    <row r="85" ht="13" customHeight="1">
      <c r="B85" s="75" t="n"/>
      <c r="C85" s="218" t="n"/>
      <c r="E85" s="75" t="n"/>
      <c r="G85" s="75" t="n"/>
      <c r="H85" s="28" t="n"/>
      <c r="J85" s="269" t="n"/>
      <c r="K85" s="270" t="n"/>
    </row>
    <row r="86" ht="13" customHeight="1">
      <c r="B86" s="75" t="n"/>
      <c r="C86" s="218" t="n"/>
      <c r="E86" s="75" t="n"/>
      <c r="G86" s="75" t="n"/>
      <c r="H86" s="28" t="n"/>
      <c r="J86" s="269" t="n"/>
      <c r="K86" s="270" t="n"/>
    </row>
    <row r="87" ht="13" customHeight="1">
      <c r="B87" s="75" t="n"/>
      <c r="C87" s="218" t="n"/>
      <c r="E87" s="75" t="n"/>
      <c r="G87" s="75" t="n"/>
      <c r="H87" s="28" t="n"/>
      <c r="J87" s="269" t="n"/>
      <c r="K87" s="270" t="n"/>
    </row>
    <row r="88" ht="13" customHeight="1">
      <c r="B88" s="75" t="n"/>
      <c r="E88" s="75" t="n"/>
      <c r="G88" s="75" t="n"/>
      <c r="H88" s="28" t="n"/>
      <c r="J88" s="269" t="n"/>
      <c r="K88" s="270" t="n"/>
    </row>
    <row r="89" ht="13" customHeight="1">
      <c r="B89" s="75" t="n"/>
      <c r="C89" s="218" t="n"/>
      <c r="E89" s="75" t="n"/>
      <c r="G89" s="75" t="n"/>
      <c r="H89" s="28" t="n"/>
      <c r="J89" s="269" t="n"/>
      <c r="K89" s="270" t="n"/>
    </row>
    <row r="90" ht="13" customHeight="1">
      <c r="B90" s="75" t="n"/>
      <c r="C90" s="218" t="n"/>
      <c r="E90" s="75" t="n"/>
      <c r="G90" s="75" t="n"/>
      <c r="H90" s="28" t="n"/>
      <c r="J90" s="269" t="n"/>
      <c r="K90" s="270" t="n"/>
    </row>
    <row r="91" ht="13" customHeight="1">
      <c r="B91" s="75" t="n"/>
      <c r="C91" s="218" t="n"/>
      <c r="E91" s="75" t="n"/>
      <c r="G91" s="75" t="n"/>
      <c r="H91" s="28" t="n"/>
      <c r="J91" s="269" t="n"/>
      <c r="K91" s="270" t="n"/>
    </row>
    <row r="92" ht="13" customHeight="1">
      <c r="B92" s="75" t="n"/>
      <c r="C92" s="218" t="n"/>
      <c r="E92" s="75" t="n"/>
      <c r="G92" s="75" t="n"/>
      <c r="H92" s="28" t="n"/>
      <c r="J92" s="269" t="n"/>
      <c r="K92" s="270" t="n"/>
    </row>
    <row r="93" ht="13" customHeight="1">
      <c r="B93" s="75" t="n"/>
      <c r="E93" s="75" t="n"/>
      <c r="G93" s="75" t="n"/>
      <c r="H93" s="28" t="n"/>
      <c r="J93" s="269" t="n"/>
      <c r="K93" s="270" t="n"/>
    </row>
    <row r="94" ht="13" customHeight="1">
      <c r="B94" s="75" t="n"/>
      <c r="E94" s="75" t="n"/>
      <c r="G94" s="75" t="n"/>
      <c r="H94" s="28" t="n"/>
      <c r="J94" s="269" t="n"/>
      <c r="K94" s="270" t="n"/>
    </row>
    <row r="95" ht="13" customHeight="1">
      <c r="B95" s="75" t="n"/>
      <c r="E95" s="75" t="n"/>
      <c r="G95" s="75" t="n"/>
      <c r="H95" s="28" t="n"/>
      <c r="J95" s="269" t="n"/>
      <c r="K95" s="270" t="n"/>
    </row>
    <row r="96" ht="13" customHeight="1">
      <c r="B96" s="75" t="n"/>
      <c r="C96" s="218" t="n"/>
      <c r="E96" s="75" t="n"/>
      <c r="G96" s="75" t="n"/>
      <c r="H96" s="28" t="n"/>
      <c r="J96" s="269" t="n"/>
      <c r="K96" s="270" t="n"/>
    </row>
    <row r="97" ht="13" customHeight="1">
      <c r="B97" s="75" t="n"/>
      <c r="C97" s="218" t="n"/>
      <c r="E97" s="75" t="n"/>
      <c r="G97" s="75" t="n"/>
      <c r="H97" s="28" t="n"/>
      <c r="J97" s="269" t="n"/>
      <c r="K97" s="270" t="n"/>
    </row>
    <row r="98" ht="13" customHeight="1">
      <c r="B98" s="75" t="n"/>
      <c r="E98" s="75" t="n"/>
      <c r="G98" s="75" t="n"/>
      <c r="H98" s="28" t="n"/>
      <c r="J98" s="269" t="n"/>
      <c r="K98" s="270" t="n"/>
    </row>
    <row r="99" ht="13" customHeight="1">
      <c r="B99" s="75" t="n"/>
      <c r="E99" s="75" t="n"/>
      <c r="G99" s="75" t="n"/>
      <c r="H99" s="28" t="n"/>
      <c r="J99" s="269" t="n"/>
      <c r="K99" s="270" t="n"/>
    </row>
    <row r="100" ht="13" customHeight="1">
      <c r="B100" s="75" t="n"/>
      <c r="C100" s="218" t="n"/>
      <c r="E100" s="75" t="n"/>
      <c r="G100" s="75" t="n"/>
      <c r="H100" s="28" t="n"/>
      <c r="J100" s="269" t="n"/>
      <c r="K100" s="270" t="n"/>
    </row>
    <row r="101" ht="13" customHeight="1">
      <c r="B101" s="75" t="n"/>
      <c r="E101" s="75" t="n"/>
      <c r="G101" s="75" t="n"/>
      <c r="H101" s="28" t="n"/>
      <c r="J101" s="269" t="n"/>
      <c r="K101" s="270" t="n"/>
    </row>
    <row r="102" ht="13" customHeight="1">
      <c r="B102" s="75" t="n"/>
      <c r="E102" s="75" t="n"/>
      <c r="G102" s="75" t="n"/>
      <c r="H102" s="28" t="n"/>
      <c r="J102" s="269" t="n"/>
      <c r="K102" s="270" t="n"/>
    </row>
    <row r="103" ht="13" customHeight="1">
      <c r="B103" s="75" t="n"/>
      <c r="E103" s="75" t="n"/>
      <c r="G103" s="75" t="n"/>
      <c r="H103" s="28" t="n"/>
      <c r="J103" s="269" t="n"/>
      <c r="K103" s="270" t="n"/>
    </row>
    <row r="104" ht="13" customHeight="1">
      <c r="B104" s="75" t="n"/>
      <c r="C104" s="218" t="n"/>
      <c r="E104" s="75" t="n"/>
      <c r="G104" s="75" t="n"/>
      <c r="H104" s="28" t="n"/>
      <c r="J104" s="269" t="n"/>
      <c r="K104" s="270" t="n"/>
    </row>
    <row r="105" ht="13" customHeight="1">
      <c r="B105" s="75" t="n"/>
      <c r="C105" s="218" t="n"/>
      <c r="E105" s="75" t="n"/>
      <c r="G105" s="75" t="n"/>
      <c r="H105" s="28" t="n"/>
      <c r="J105" s="269" t="n"/>
      <c r="K105" s="270" t="n"/>
    </row>
    <row r="106" ht="13" customHeight="1">
      <c r="B106" s="75" t="n"/>
      <c r="E106" s="75" t="n"/>
      <c r="G106" s="75" t="n"/>
      <c r="H106" s="28" t="n"/>
      <c r="J106" s="269" t="n"/>
      <c r="K106" s="270" t="n"/>
    </row>
    <row r="107" ht="13" customHeight="1">
      <c r="B107" s="75" t="n"/>
      <c r="C107" s="218" t="n"/>
      <c r="E107" s="75" t="n"/>
      <c r="G107" s="75" t="n"/>
      <c r="H107" s="28" t="n"/>
      <c r="J107" s="269" t="n"/>
      <c r="K107" s="270" t="n"/>
    </row>
    <row r="108" ht="13" customHeight="1">
      <c r="B108" s="75" t="n"/>
      <c r="E108" s="75" t="n"/>
      <c r="G108" s="75" t="n"/>
      <c r="H108" s="28" t="n"/>
      <c r="J108" s="269" t="n"/>
      <c r="K108" s="270" t="n"/>
    </row>
    <row r="109" ht="13" customHeight="1">
      <c r="B109" s="75" t="n"/>
      <c r="E109" s="75" t="n"/>
      <c r="G109" s="75" t="n"/>
      <c r="H109" s="28" t="n"/>
      <c r="J109" s="269" t="n"/>
      <c r="K109" s="270" t="n"/>
    </row>
    <row r="110" ht="13" customHeight="1">
      <c r="B110" s="75" t="n"/>
      <c r="E110" s="75" t="n"/>
      <c r="G110" s="75" t="n"/>
      <c r="H110" s="28" t="n"/>
      <c r="J110" s="269" t="n"/>
      <c r="K110" s="270" t="n"/>
    </row>
    <row r="111" ht="13" customHeight="1">
      <c r="B111" s="75" t="n"/>
      <c r="E111" s="75" t="n"/>
      <c r="G111" s="75" t="n"/>
      <c r="H111" s="28" t="n"/>
      <c r="J111" s="269" t="n"/>
      <c r="K111" s="270" t="n"/>
    </row>
    <row r="112" ht="13" customHeight="1">
      <c r="B112" s="75" t="n"/>
      <c r="E112" s="75" t="n"/>
      <c r="G112" s="75" t="n"/>
      <c r="H112" s="28" t="n"/>
      <c r="J112" s="269" t="n"/>
      <c r="K112" s="270" t="n"/>
    </row>
    <row r="113" ht="13" customHeight="1">
      <c r="B113" s="75" t="n"/>
      <c r="E113" s="75" t="n"/>
      <c r="G113" s="75" t="n"/>
      <c r="H113" s="28" t="n"/>
      <c r="J113" s="269" t="n"/>
      <c r="K113" s="270" t="n"/>
    </row>
    <row r="114" ht="13" customHeight="1">
      <c r="B114" s="75" t="n"/>
      <c r="C114" s="218" t="n"/>
      <c r="E114" s="75" t="n"/>
      <c r="G114" s="75" t="n"/>
      <c r="H114" s="28" t="n"/>
      <c r="J114" s="269" t="n"/>
      <c r="K114" s="270" t="n"/>
    </row>
    <row r="115" ht="13" customHeight="1">
      <c r="B115" s="75" t="n"/>
      <c r="E115" s="75" t="n"/>
      <c r="G115" s="75" t="n"/>
      <c r="H115" s="28" t="n"/>
      <c r="J115" s="269" t="n"/>
      <c r="K115" s="270" t="n"/>
    </row>
    <row r="116" ht="13" customHeight="1">
      <c r="B116" s="75" t="n"/>
      <c r="C116" s="218" t="n"/>
      <c r="E116" s="75" t="n"/>
      <c r="G116" s="75" t="n"/>
      <c r="H116" s="28" t="n"/>
      <c r="J116" s="269" t="n"/>
      <c r="K116" s="270" t="n"/>
    </row>
    <row r="117" ht="13" customHeight="1">
      <c r="B117" s="75" t="n"/>
      <c r="E117" s="75" t="n"/>
      <c r="G117" s="75" t="n"/>
      <c r="H117" s="28" t="n"/>
      <c r="J117" s="269" t="n"/>
      <c r="K117" s="270" t="n"/>
    </row>
    <row r="118" ht="13" customHeight="1">
      <c r="B118" s="75" t="n"/>
      <c r="C118" s="218" t="n"/>
      <c r="E118" s="75" t="n"/>
      <c r="G118" s="75" t="n"/>
      <c r="H118" s="28" t="n"/>
      <c r="J118" s="269" t="n"/>
      <c r="K118" s="270" t="n"/>
    </row>
    <row r="119" ht="13" customHeight="1">
      <c r="B119" s="75" t="n"/>
      <c r="C119" s="218" t="n"/>
      <c r="E119" s="75" t="n"/>
      <c r="G119" s="75" t="n"/>
      <c r="H119" s="28" t="n"/>
      <c r="J119" s="269" t="n"/>
      <c r="K119" s="270" t="n"/>
    </row>
    <row r="120" ht="13" customHeight="1">
      <c r="B120" s="75" t="n"/>
      <c r="E120" s="75" t="n"/>
      <c r="G120" s="75" t="n"/>
      <c r="H120" s="28" t="n"/>
      <c r="J120" s="269" t="n"/>
      <c r="K120" s="270" t="n"/>
    </row>
    <row r="121" ht="13" customHeight="1">
      <c r="B121" s="75" t="n"/>
      <c r="C121" s="218" t="n"/>
      <c r="E121" s="75" t="n"/>
      <c r="G121" s="75" t="n"/>
      <c r="H121" s="28" t="n"/>
      <c r="J121" s="269" t="n"/>
      <c r="K121" s="270" t="n"/>
    </row>
    <row r="122" ht="13" customHeight="1">
      <c r="B122" s="75" t="n"/>
      <c r="E122" s="75" t="n"/>
      <c r="G122" s="75" t="n"/>
      <c r="H122" s="28" t="n"/>
      <c r="J122" s="269" t="n"/>
      <c r="K122" s="270" t="n"/>
    </row>
    <row r="123" ht="13" customHeight="1">
      <c r="B123" s="75" t="n"/>
      <c r="E123" s="75" t="n"/>
      <c r="G123" s="75" t="n"/>
      <c r="H123" s="28" t="n"/>
      <c r="J123" s="269" t="n"/>
      <c r="K123" s="270" t="n"/>
    </row>
    <row r="124" ht="13" customHeight="1">
      <c r="B124" s="75" t="n"/>
      <c r="E124" s="75" t="n"/>
      <c r="G124" s="75" t="n"/>
      <c r="H124" s="28" t="n"/>
      <c r="J124" s="269" t="n"/>
      <c r="K124" s="270" t="n"/>
    </row>
    <row r="125" ht="13" customHeight="1">
      <c r="B125" s="75" t="n"/>
      <c r="E125" s="75" t="n"/>
      <c r="G125" s="75" t="n"/>
      <c r="H125" s="28" t="n"/>
      <c r="J125" s="269" t="n"/>
      <c r="K125" s="270" t="n"/>
    </row>
    <row r="126" ht="13" customHeight="1">
      <c r="B126" s="75" t="n"/>
      <c r="C126" s="218" t="n"/>
      <c r="E126" s="75" t="n"/>
      <c r="G126" s="75" t="n"/>
      <c r="H126" s="28" t="n"/>
      <c r="J126" s="269" t="n"/>
      <c r="K126" s="270" t="n"/>
    </row>
    <row r="127" ht="13" customHeight="1">
      <c r="B127" s="75" t="n"/>
      <c r="C127" s="218" t="n"/>
      <c r="E127" s="75" t="n"/>
      <c r="G127" s="75" t="n"/>
      <c r="H127" s="28" t="n"/>
      <c r="J127" s="269" t="n"/>
      <c r="K127" s="270" t="n"/>
    </row>
    <row r="128" ht="13" customHeight="1">
      <c r="B128" s="75" t="n"/>
      <c r="C128" s="218" t="n"/>
      <c r="E128" s="75" t="n"/>
      <c r="G128" s="75" t="n"/>
      <c r="H128" s="28" t="n"/>
      <c r="J128" s="269" t="n"/>
      <c r="K128" s="270" t="n"/>
    </row>
    <row r="129" ht="13" customHeight="1">
      <c r="B129" s="75" t="n"/>
      <c r="E129" s="75" t="n"/>
      <c r="G129" s="75" t="n"/>
      <c r="H129" s="28" t="n"/>
      <c r="J129" s="269" t="n"/>
      <c r="K129" s="270" t="n"/>
    </row>
    <row r="130" ht="13" customHeight="1">
      <c r="B130" s="75" t="n"/>
      <c r="E130" s="75" t="n"/>
      <c r="G130" s="75" t="n"/>
      <c r="H130" s="28" t="n"/>
      <c r="J130" s="269" t="n"/>
      <c r="K130" s="270" t="n"/>
    </row>
    <row r="131" ht="13" customHeight="1">
      <c r="B131" s="75" t="n"/>
      <c r="C131" s="218" t="n"/>
      <c r="E131" s="75" t="n"/>
      <c r="G131" s="75" t="n"/>
      <c r="H131" s="28" t="n"/>
      <c r="J131" s="269" t="n"/>
      <c r="K131" s="270" t="n"/>
    </row>
    <row r="132" ht="13" customHeight="1">
      <c r="B132" s="75" t="n"/>
      <c r="E132" s="75" t="n"/>
      <c r="G132" s="75" t="n"/>
      <c r="H132" s="28" t="n"/>
      <c r="J132" s="269" t="n"/>
      <c r="K132" s="270" t="n"/>
    </row>
    <row r="133" ht="13" customHeight="1">
      <c r="B133" s="75" t="n"/>
      <c r="E133" s="75" t="n"/>
      <c r="G133" s="75" t="n"/>
      <c r="H133" s="28" t="n"/>
      <c r="J133" s="269" t="n"/>
      <c r="K133" s="270" t="n"/>
    </row>
    <row r="134" ht="13" customHeight="1">
      <c r="B134" s="75" t="n"/>
      <c r="E134" s="75" t="n"/>
      <c r="G134" s="75" t="n"/>
      <c r="H134" s="28" t="n"/>
      <c r="J134" s="269" t="n"/>
      <c r="K134" s="270" t="n"/>
    </row>
    <row r="135" ht="13" customHeight="1">
      <c r="B135" s="75" t="n"/>
      <c r="E135" s="75" t="n"/>
      <c r="G135" s="75" t="n"/>
      <c r="H135" s="28" t="n"/>
      <c r="J135" s="269" t="n"/>
      <c r="K135" s="270" t="n"/>
    </row>
    <row r="136" ht="13" customHeight="1">
      <c r="B136" s="75" t="n"/>
      <c r="E136" s="75" t="n"/>
      <c r="G136" s="75" t="n"/>
      <c r="H136" s="28" t="n"/>
      <c r="J136" s="269" t="n"/>
      <c r="K136" s="270" t="n"/>
    </row>
    <row r="137" ht="13" customHeight="1">
      <c r="B137" s="75" t="n"/>
      <c r="E137" s="75" t="n"/>
      <c r="G137" s="75" t="n"/>
      <c r="H137" s="28" t="n"/>
      <c r="J137" s="269" t="n"/>
      <c r="K137" s="270" t="n"/>
    </row>
    <row r="138" ht="13" customHeight="1">
      <c r="B138" s="75" t="n"/>
      <c r="E138" s="75" t="n"/>
      <c r="G138" s="75" t="n"/>
      <c r="H138" s="28" t="n"/>
      <c r="J138" s="269" t="n"/>
      <c r="K138" s="270" t="n"/>
    </row>
    <row r="139" ht="13" customHeight="1">
      <c r="B139" s="75" t="n"/>
      <c r="E139" s="75" t="n"/>
      <c r="G139" s="75" t="n"/>
      <c r="H139" s="28" t="n"/>
      <c r="J139" s="269" t="n"/>
      <c r="K139" s="270" t="n"/>
    </row>
    <row r="140" ht="13" customHeight="1">
      <c r="B140" s="75" t="n"/>
      <c r="C140" s="218" t="n"/>
      <c r="E140" s="75" t="n"/>
      <c r="G140" s="75" t="n"/>
      <c r="H140" s="28" t="n"/>
      <c r="J140" s="269" t="n"/>
      <c r="K140" s="270" t="n"/>
    </row>
    <row r="141" ht="13" customHeight="1">
      <c r="B141" s="75" t="n"/>
      <c r="E141" s="75" t="n"/>
      <c r="G141" s="75" t="n"/>
      <c r="H141" s="28" t="n"/>
      <c r="J141" s="269" t="n"/>
      <c r="K141" s="270" t="n"/>
    </row>
    <row r="142" ht="13" customHeight="1">
      <c r="B142" s="75" t="n"/>
      <c r="E142" s="75" t="n"/>
      <c r="G142" s="75" t="n"/>
      <c r="H142" s="28" t="n"/>
      <c r="J142" s="269" t="n"/>
      <c r="K142" s="270" t="n"/>
    </row>
    <row r="143" ht="13" customHeight="1">
      <c r="B143" s="75" t="n"/>
      <c r="C143" s="218" t="n"/>
      <c r="E143" s="75" t="n"/>
      <c r="G143" s="75" t="n"/>
      <c r="H143" s="28" t="n"/>
      <c r="J143" s="269" t="n"/>
      <c r="K143" s="270" t="n"/>
    </row>
    <row r="144" ht="13" customHeight="1">
      <c r="B144" s="75" t="n"/>
      <c r="E144" s="75" t="n"/>
      <c r="G144" s="75" t="n"/>
      <c r="H144" s="28" t="n"/>
      <c r="J144" s="269" t="n"/>
      <c r="K144" s="270" t="n"/>
    </row>
    <row r="145" ht="13" customHeight="1">
      <c r="B145" s="75" t="n"/>
      <c r="E145" s="75" t="n"/>
      <c r="G145" s="75" t="n"/>
      <c r="H145" s="28" t="n"/>
      <c r="J145" s="269" t="n"/>
      <c r="K145" s="270" t="n"/>
    </row>
    <row r="146" ht="13" customHeight="1">
      <c r="B146" s="75" t="n"/>
      <c r="E146" s="75" t="n"/>
      <c r="G146" s="75" t="n"/>
      <c r="H146" s="28" t="n"/>
      <c r="J146" s="269" t="n"/>
      <c r="K146" s="270" t="n"/>
    </row>
    <row r="147" ht="13" customHeight="1">
      <c r="B147" s="75" t="n"/>
      <c r="E147" s="75" t="n"/>
      <c r="G147" s="75" t="n"/>
      <c r="H147" s="28" t="n"/>
      <c r="J147" s="269" t="n"/>
      <c r="K147" s="270" t="n"/>
    </row>
    <row r="148" ht="13" customHeight="1">
      <c r="B148" s="75" t="n"/>
      <c r="C148" s="218" t="n"/>
      <c r="E148" s="75" t="n"/>
      <c r="G148" s="75" t="n"/>
      <c r="H148" s="28" t="n"/>
      <c r="J148" s="269" t="n"/>
      <c r="K148" s="270" t="n"/>
    </row>
    <row r="149" ht="13" customHeight="1">
      <c r="B149" s="75" t="n"/>
      <c r="E149" s="75" t="n"/>
      <c r="G149" s="75" t="n"/>
      <c r="H149" s="28" t="n"/>
      <c r="J149" s="269" t="n"/>
      <c r="K149" s="270" t="n"/>
    </row>
    <row r="150" ht="13" customHeight="1">
      <c r="B150" s="75" t="n"/>
      <c r="E150" s="75" t="n"/>
      <c r="G150" s="75" t="n"/>
      <c r="H150" s="28" t="n"/>
      <c r="J150" s="269" t="n"/>
      <c r="K150" s="270" t="n"/>
    </row>
    <row r="151" ht="13" customHeight="1">
      <c r="B151" s="75" t="n"/>
      <c r="C151" s="218" t="n"/>
      <c r="E151" s="75" t="n"/>
      <c r="G151" s="75" t="n"/>
      <c r="H151" s="28" t="n"/>
      <c r="J151" s="269" t="n"/>
      <c r="K151" s="270" t="n"/>
    </row>
    <row r="152" ht="13" customHeight="1">
      <c r="B152" s="75" t="n"/>
      <c r="C152" s="218" t="n"/>
      <c r="E152" s="75" t="n"/>
      <c r="G152" s="75" t="n"/>
      <c r="H152" s="28" t="n"/>
      <c r="J152" s="269" t="n"/>
      <c r="K152" s="270" t="n"/>
    </row>
    <row r="153" ht="13" customHeight="1">
      <c r="B153" s="75" t="n"/>
      <c r="C153" s="218" t="n"/>
      <c r="E153" s="75" t="n"/>
      <c r="G153" s="75" t="n"/>
      <c r="H153" s="28" t="n"/>
      <c r="J153" s="269" t="n"/>
      <c r="K153" s="270" t="n"/>
    </row>
    <row r="154" ht="13" customHeight="1">
      <c r="B154" s="75" t="n"/>
      <c r="E154" s="75" t="n"/>
      <c r="G154" s="75" t="n"/>
      <c r="H154" s="28" t="n"/>
      <c r="J154" s="269" t="n"/>
      <c r="K154" s="270" t="n"/>
    </row>
    <row r="155" ht="13" customHeight="1">
      <c r="B155" s="75" t="n"/>
      <c r="E155" s="75" t="n"/>
      <c r="G155" s="75" t="n"/>
      <c r="H155" s="28" t="n"/>
      <c r="J155" s="269" t="n"/>
      <c r="K155" s="270" t="n"/>
    </row>
    <row r="156" ht="13" customHeight="1">
      <c r="B156" s="75" t="n"/>
      <c r="E156" s="75" t="n"/>
      <c r="G156" s="75" t="n"/>
      <c r="H156" s="28" t="n"/>
      <c r="J156" s="269" t="n"/>
      <c r="K156" s="270" t="n"/>
    </row>
    <row r="157" ht="13" customHeight="1">
      <c r="B157" s="75" t="n"/>
      <c r="E157" s="75" t="n"/>
      <c r="G157" s="75" t="n"/>
      <c r="H157" s="28" t="n"/>
      <c r="J157" s="269" t="n"/>
      <c r="K157" s="270" t="n"/>
    </row>
    <row r="158" ht="13" customHeight="1">
      <c r="B158" s="75" t="n"/>
      <c r="E158" s="75" t="n"/>
      <c r="G158" s="75" t="n"/>
      <c r="H158" s="28" t="n"/>
      <c r="J158" s="269" t="n"/>
      <c r="K158" s="270" t="n"/>
    </row>
    <row r="159" ht="13" customHeight="1">
      <c r="B159" s="75" t="n"/>
      <c r="E159" s="75" t="n"/>
      <c r="G159" s="75" t="n"/>
      <c r="H159" s="28" t="n"/>
      <c r="J159" s="269" t="n"/>
      <c r="K159" s="270" t="n"/>
    </row>
    <row r="160" ht="13" customHeight="1">
      <c r="B160" s="75" t="n"/>
      <c r="C160" s="218" t="n"/>
      <c r="E160" s="75" t="n"/>
      <c r="G160" s="75" t="n"/>
      <c r="H160" s="28" t="n"/>
      <c r="J160" s="269" t="n"/>
      <c r="K160" s="270" t="n"/>
    </row>
    <row r="161" ht="13" customHeight="1">
      <c r="B161" s="75" t="n"/>
      <c r="E161" s="75" t="n"/>
      <c r="G161" s="75" t="n"/>
      <c r="H161" s="28" t="n"/>
      <c r="J161" s="269" t="n"/>
      <c r="K161" s="270" t="n"/>
    </row>
    <row r="162" ht="13" customHeight="1">
      <c r="B162" s="75" t="n"/>
      <c r="C162" s="218" t="n"/>
      <c r="E162" s="75" t="n"/>
      <c r="G162" s="75" t="n"/>
      <c r="H162" s="28" t="n"/>
      <c r="J162" s="269" t="n"/>
      <c r="K162" s="270" t="n"/>
    </row>
    <row r="163" ht="13" customHeight="1">
      <c r="B163" s="75" t="n"/>
      <c r="E163" s="75" t="n"/>
      <c r="G163" s="75" t="n"/>
      <c r="H163" s="28" t="n"/>
      <c r="J163" s="269" t="n"/>
      <c r="K163" s="270" t="n"/>
    </row>
    <row r="164" ht="13" customHeight="1">
      <c r="B164" s="75" t="n"/>
      <c r="E164" s="75" t="n"/>
      <c r="G164" s="75" t="n"/>
      <c r="H164" s="28" t="n"/>
      <c r="J164" s="269" t="n"/>
      <c r="K164" s="270" t="n"/>
    </row>
    <row r="165" ht="13" customHeight="1">
      <c r="B165" s="141" t="n"/>
      <c r="D165" s="133" t="n"/>
      <c r="E165" s="75" t="n"/>
      <c r="F165" s="271" t="n"/>
      <c r="G165" s="75" t="n"/>
      <c r="H165" s="28" t="n"/>
      <c r="J165" s="269" t="n"/>
      <c r="K165" s="270" t="n"/>
    </row>
    <row r="166" ht="13" customHeight="1">
      <c r="B166" s="141" t="n"/>
      <c r="D166" s="133" t="n"/>
      <c r="E166" s="75" t="n"/>
      <c r="F166" s="271" t="n"/>
      <c r="G166" s="75" t="n"/>
      <c r="H166" s="28" t="n"/>
      <c r="J166" s="269" t="n"/>
      <c r="K166" s="270" t="n"/>
    </row>
    <row r="167" ht="13" customHeight="1">
      <c r="B167" s="141" t="n"/>
      <c r="C167" s="218" t="n"/>
      <c r="D167" s="133" t="n"/>
      <c r="E167" s="75" t="n"/>
      <c r="F167" s="271" t="n"/>
      <c r="G167" s="75" t="n"/>
      <c r="H167" s="28" t="n"/>
      <c r="J167" s="269" t="n"/>
      <c r="K167" s="270" t="n"/>
    </row>
    <row r="168" ht="13" customHeight="1">
      <c r="B168" s="141" t="n"/>
      <c r="D168" s="133" t="n"/>
      <c r="E168" s="75" t="n"/>
      <c r="F168" s="271" t="n"/>
      <c r="G168" s="75" t="n"/>
      <c r="H168" s="28" t="n"/>
      <c r="J168" s="269" t="n"/>
      <c r="K168" s="270" t="n"/>
    </row>
    <row r="169" ht="13" customHeight="1">
      <c r="B169" s="141" t="n"/>
      <c r="C169" s="218" t="n"/>
      <c r="D169" s="133" t="n"/>
      <c r="E169" s="75" t="n"/>
      <c r="F169" s="271" t="n"/>
      <c r="G169" s="75" t="n"/>
      <c r="H169" s="28" t="n"/>
      <c r="J169" s="269" t="n"/>
      <c r="K169" s="270" t="n"/>
    </row>
    <row r="170" ht="13" customHeight="1">
      <c r="B170" s="141" t="n"/>
      <c r="C170" s="218" t="n"/>
      <c r="D170" s="133" t="n"/>
      <c r="E170" s="75" t="n"/>
      <c r="F170" s="271" t="n"/>
      <c r="G170" s="75" t="n"/>
      <c r="H170" s="28" t="n"/>
      <c r="J170" s="269" t="n"/>
      <c r="K170" s="270" t="n"/>
    </row>
    <row r="171" ht="13" customHeight="1">
      <c r="B171" s="141" t="n"/>
      <c r="D171" s="133" t="n"/>
      <c r="E171" s="75" t="n"/>
      <c r="F171" s="271" t="n"/>
      <c r="G171" s="75" t="n"/>
      <c r="H171" s="28" t="n"/>
      <c r="J171" s="269" t="n"/>
      <c r="K171" s="270" t="n"/>
    </row>
    <row r="172" ht="13" customHeight="1">
      <c r="B172" s="141" t="n"/>
      <c r="C172" s="218" t="n"/>
      <c r="D172" s="133" t="n"/>
      <c r="E172" s="75" t="n"/>
      <c r="F172" s="271" t="n"/>
      <c r="G172" s="75" t="n"/>
      <c r="H172" s="28" t="n"/>
      <c r="J172" s="269" t="n"/>
      <c r="K172" s="270" t="n"/>
    </row>
    <row r="173" ht="13" customHeight="1">
      <c r="B173" s="141" t="n"/>
      <c r="D173" s="133" t="n"/>
      <c r="E173" s="75" t="n"/>
      <c r="F173" s="271" t="n"/>
      <c r="G173" s="75" t="n"/>
      <c r="H173" s="28" t="n"/>
      <c r="J173" s="269" t="n"/>
      <c r="K173" s="270" t="n"/>
    </row>
    <row r="174" ht="13" customHeight="1">
      <c r="B174" s="141" t="n"/>
      <c r="D174" s="133" t="n"/>
      <c r="E174" s="75" t="n"/>
      <c r="F174" s="271" t="n"/>
      <c r="G174" s="75" t="n"/>
      <c r="H174" s="28" t="n"/>
      <c r="J174" s="269" t="n"/>
      <c r="K174" s="270" t="n"/>
    </row>
    <row r="175" ht="13" customHeight="1">
      <c r="B175" s="141" t="n"/>
      <c r="D175" s="133" t="n"/>
      <c r="E175" s="75" t="n"/>
      <c r="F175" s="271" t="n"/>
      <c r="G175" s="75" t="n"/>
      <c r="H175" s="28" t="n"/>
      <c r="J175" s="269" t="n"/>
      <c r="K175" s="270" t="n"/>
    </row>
    <row r="176" ht="13" customHeight="1">
      <c r="B176" s="141" t="n"/>
      <c r="C176" s="218" t="n"/>
      <c r="D176" s="133" t="n"/>
      <c r="E176" s="75" t="n"/>
      <c r="F176" s="271" t="n"/>
      <c r="G176" s="75" t="n"/>
      <c r="H176" s="28" t="n"/>
      <c r="J176" s="269" t="n"/>
      <c r="K176" s="270" t="n"/>
    </row>
    <row r="177" ht="13" customHeight="1">
      <c r="B177" s="141" t="n"/>
      <c r="C177" s="218" t="n"/>
      <c r="D177" s="133" t="n"/>
      <c r="E177" s="75" t="n"/>
      <c r="F177" s="271" t="n"/>
      <c r="G177" s="75" t="n"/>
      <c r="H177" s="28" t="n"/>
      <c r="J177" s="269" t="n"/>
      <c r="K177" s="270" t="n"/>
    </row>
    <row r="178" ht="13" customHeight="1">
      <c r="B178" s="141" t="n"/>
      <c r="C178" s="218" t="n"/>
      <c r="D178" s="133" t="n"/>
      <c r="E178" s="75" t="n"/>
      <c r="F178" s="271" t="n"/>
      <c r="G178" s="75" t="n"/>
      <c r="H178" s="28" t="n"/>
      <c r="J178" s="269" t="n"/>
      <c r="K178" s="270" t="n"/>
    </row>
    <row r="179" ht="13" customHeight="1">
      <c r="B179" s="141" t="n"/>
      <c r="C179" s="218" t="n"/>
      <c r="D179" s="133" t="n"/>
      <c r="E179" s="75" t="n"/>
      <c r="F179" s="271" t="n"/>
      <c r="G179" s="75" t="n"/>
      <c r="H179" s="28" t="n"/>
      <c r="J179" s="269" t="n"/>
      <c r="K179" s="270" t="n"/>
    </row>
    <row r="180" ht="13" customHeight="1">
      <c r="B180" s="141" t="n"/>
      <c r="D180" s="133" t="n"/>
      <c r="E180" s="75" t="n"/>
      <c r="F180" s="271" t="n"/>
      <c r="G180" s="75" t="n"/>
      <c r="H180" s="28" t="n"/>
      <c r="J180" s="269" t="n"/>
      <c r="K180" s="270" t="n"/>
    </row>
    <row r="181" ht="13" customHeight="1">
      <c r="B181" s="141" t="n"/>
      <c r="C181" s="218" t="n"/>
      <c r="D181" s="133" t="n"/>
      <c r="E181" s="75" t="n"/>
      <c r="F181" s="271" t="n"/>
      <c r="G181" s="75" t="n"/>
      <c r="H181" s="28" t="n"/>
      <c r="J181" s="269" t="n"/>
      <c r="K181" s="270" t="n"/>
    </row>
    <row r="182" ht="13" customHeight="1">
      <c r="B182" s="75" t="n"/>
      <c r="C182" s="218" t="n"/>
      <c r="E182" s="75" t="n"/>
      <c r="G182" s="75" t="n"/>
      <c r="H182" s="28" t="n"/>
      <c r="J182" s="269" t="n"/>
      <c r="K182" s="270" t="n"/>
    </row>
    <row r="183" ht="13" customHeight="1">
      <c r="B183" s="141" t="n"/>
      <c r="C183" s="218" t="n"/>
      <c r="D183" s="133" t="n"/>
      <c r="E183" s="75" t="n"/>
      <c r="F183" s="271" t="n"/>
      <c r="G183" s="75" t="n"/>
      <c r="H183" s="28" t="n"/>
      <c r="J183" s="269" t="n"/>
      <c r="K183" s="270" t="n"/>
    </row>
    <row r="184" ht="13" customHeight="1">
      <c r="B184" s="141" t="n"/>
      <c r="C184" s="218" t="n"/>
      <c r="D184" s="133" t="n"/>
      <c r="E184" s="75" t="n"/>
      <c r="F184" s="271" t="n"/>
      <c r="G184" s="75" t="n"/>
      <c r="H184" s="28" t="n"/>
      <c r="J184" s="269" t="n"/>
      <c r="K184" s="270" t="n"/>
    </row>
    <row r="185" ht="13" customHeight="1">
      <c r="B185" s="141" t="n"/>
      <c r="C185" s="218" t="n"/>
      <c r="D185" s="133" t="n"/>
      <c r="E185" s="75" t="n"/>
      <c r="F185" s="271" t="n"/>
      <c r="G185" s="75" t="n"/>
      <c r="H185" s="28" t="n"/>
      <c r="J185" s="269" t="n"/>
      <c r="K185" s="270" t="n"/>
    </row>
    <row r="186" ht="13" customHeight="1">
      <c r="B186" s="75" t="n"/>
      <c r="C186" s="218" t="n"/>
      <c r="E186" s="75" t="n"/>
      <c r="G186" s="75" t="n"/>
      <c r="H186" s="28" t="n"/>
      <c r="J186" s="269" t="n"/>
      <c r="K186" s="270" t="n"/>
    </row>
    <row r="187" ht="13" customHeight="1">
      <c r="B187" s="75" t="n"/>
      <c r="C187" s="218" t="n"/>
      <c r="E187" s="75" t="n"/>
      <c r="G187" s="75" t="n"/>
      <c r="H187" s="28" t="n"/>
      <c r="J187" s="269" t="n"/>
      <c r="K187" s="270" t="n"/>
    </row>
    <row r="188" ht="13" customHeight="1">
      <c r="B188" s="75" t="n"/>
      <c r="C188" s="218" t="n"/>
      <c r="E188" s="75" t="n"/>
      <c r="G188" s="75" t="n"/>
      <c r="H188" s="28" t="n"/>
      <c r="J188" s="269" t="n"/>
      <c r="K188" s="270" t="n"/>
    </row>
    <row r="189" ht="13" customHeight="1">
      <c r="B189" s="75" t="n"/>
      <c r="C189" s="218" t="n"/>
      <c r="E189" s="75" t="n"/>
      <c r="G189" s="75" t="n"/>
      <c r="H189" s="28" t="n"/>
      <c r="J189" s="269" t="n"/>
      <c r="K189" s="270" t="n"/>
    </row>
    <row r="190" ht="13" customHeight="1">
      <c r="B190" s="75" t="n"/>
      <c r="C190" s="218" t="n"/>
      <c r="E190" s="75" t="n"/>
      <c r="G190" s="75" t="n"/>
      <c r="H190" s="28" t="n"/>
      <c r="J190" s="269" t="n"/>
      <c r="K190" s="270" t="n"/>
    </row>
    <row r="191" ht="13" customHeight="1">
      <c r="B191" s="75" t="n"/>
      <c r="C191" s="218" t="n"/>
      <c r="E191" s="75" t="n"/>
      <c r="G191" s="75" t="n"/>
      <c r="H191" s="28" t="n"/>
      <c r="J191" s="269" t="n"/>
      <c r="K191" s="270" t="n"/>
    </row>
    <row r="192" ht="13" customHeight="1">
      <c r="B192" s="75" t="n"/>
      <c r="E192" s="75" t="n"/>
      <c r="G192" s="75" t="n"/>
      <c r="H192" s="28" t="n"/>
      <c r="J192" s="269" t="n"/>
      <c r="K192" s="270" t="n"/>
    </row>
    <row r="193" ht="13" customHeight="1">
      <c r="B193" s="75" t="n"/>
      <c r="E193" s="75" t="n"/>
      <c r="G193" s="75" t="n"/>
      <c r="H193" s="28" t="n"/>
      <c r="J193" s="269" t="n"/>
      <c r="K193" s="270" t="n"/>
    </row>
    <row r="194" ht="13" customHeight="1">
      <c r="B194" s="75" t="n"/>
      <c r="C194" s="218" t="n"/>
      <c r="E194" s="75" t="n"/>
      <c r="G194" s="75" t="n"/>
      <c r="H194" s="28" t="n"/>
      <c r="J194" s="269" t="n"/>
      <c r="K194" s="270" t="n"/>
    </row>
    <row r="195" ht="13" customHeight="1">
      <c r="B195" s="75" t="n"/>
      <c r="C195" s="218" t="n"/>
      <c r="E195" s="75" t="n"/>
      <c r="G195" s="75" t="n"/>
      <c r="H195" s="28" t="n"/>
      <c r="J195" s="269" t="n"/>
      <c r="K195" s="270" t="n"/>
    </row>
    <row r="196" ht="13" customHeight="1">
      <c r="B196" s="75" t="n"/>
      <c r="C196" s="218" t="n"/>
      <c r="E196" s="75" t="n"/>
      <c r="G196" s="75" t="n"/>
      <c r="H196" s="28" t="n"/>
      <c r="J196" s="269" t="n"/>
      <c r="K196" s="270" t="n"/>
    </row>
    <row r="197" ht="13" customHeight="1">
      <c r="B197" s="75" t="n"/>
      <c r="E197" s="75" t="n"/>
      <c r="G197" s="75" t="n"/>
      <c r="H197" s="28" t="n"/>
      <c r="J197" s="269" t="n"/>
      <c r="K197" s="270" t="n"/>
    </row>
    <row r="198" ht="13" customHeight="1">
      <c r="B198" s="75" t="n"/>
      <c r="E198" s="75" t="n"/>
      <c r="G198" s="75" t="n"/>
      <c r="H198" s="28" t="n"/>
      <c r="J198" s="269" t="n"/>
      <c r="K198" s="270" t="n"/>
    </row>
    <row r="199" ht="13" customHeight="1">
      <c r="B199" s="75" t="n"/>
      <c r="E199" s="75" t="n"/>
      <c r="G199" s="75" t="n"/>
      <c r="H199" s="28" t="n"/>
      <c r="J199" s="269" t="n"/>
      <c r="K199" s="270" t="n"/>
    </row>
    <row r="200" ht="13" customHeight="1">
      <c r="B200" s="75" t="n"/>
      <c r="E200" s="75" t="n"/>
      <c r="G200" s="75" t="n"/>
      <c r="H200" s="28" t="n"/>
      <c r="J200" s="269" t="n"/>
      <c r="K200" s="270" t="n"/>
    </row>
    <row r="201" ht="13" customHeight="1">
      <c r="B201" s="75" t="n"/>
      <c r="C201" s="218" t="n"/>
      <c r="E201" s="75" t="n"/>
      <c r="G201" s="75" t="n"/>
      <c r="H201" s="28" t="n"/>
      <c r="J201" s="269" t="n"/>
      <c r="K201" s="270" t="n"/>
    </row>
    <row r="202" ht="13" customHeight="1">
      <c r="B202" s="75" t="n"/>
      <c r="E202" s="75" t="n"/>
      <c r="G202" s="75" t="n"/>
      <c r="H202" s="28" t="n"/>
      <c r="J202" s="269" t="n"/>
      <c r="K202" s="270" t="n"/>
    </row>
    <row r="203" ht="13" customHeight="1">
      <c r="B203" s="75" t="n"/>
      <c r="E203" s="75" t="n"/>
      <c r="G203" s="75" t="n"/>
      <c r="H203" s="28" t="n"/>
      <c r="J203" s="269" t="n"/>
      <c r="K203" s="270" t="n"/>
    </row>
    <row r="204" ht="13" customHeight="1">
      <c r="B204" s="75" t="n"/>
      <c r="E204" s="75" t="n"/>
      <c r="G204" s="75" t="n"/>
      <c r="H204" s="28" t="n"/>
      <c r="J204" s="269" t="n"/>
      <c r="K204" s="270" t="n"/>
    </row>
    <row r="205" ht="13" customHeight="1">
      <c r="B205" s="75" t="n"/>
      <c r="E205" s="75" t="n"/>
      <c r="G205" s="75" t="n"/>
      <c r="H205" s="28" t="n"/>
      <c r="J205" s="269" t="n"/>
      <c r="K205" s="270" t="n"/>
    </row>
    <row r="206" ht="13" customHeight="1">
      <c r="B206" s="75" t="n"/>
      <c r="C206" s="218" t="n"/>
      <c r="E206" s="75" t="n"/>
      <c r="G206" s="75" t="n"/>
      <c r="H206" s="28" t="n"/>
      <c r="J206" s="269" t="n"/>
      <c r="K206" s="270" t="n"/>
    </row>
    <row r="207" ht="13" customHeight="1">
      <c r="B207" s="75" t="n"/>
      <c r="C207" s="218" t="n"/>
      <c r="E207" s="75" t="n"/>
      <c r="G207" s="75" t="n"/>
      <c r="H207" s="28" t="n"/>
      <c r="J207" s="269" t="n"/>
      <c r="K207" s="270" t="n"/>
    </row>
    <row r="208" ht="13" customHeight="1">
      <c r="B208" s="75" t="n"/>
      <c r="E208" s="75" t="n"/>
      <c r="G208" s="75" t="n"/>
      <c r="H208" s="28" t="n"/>
      <c r="J208" s="269" t="n"/>
      <c r="K208" s="270" t="n"/>
    </row>
    <row r="209" ht="13" customHeight="1">
      <c r="B209" s="75" t="n"/>
      <c r="E209" s="75" t="n"/>
      <c r="G209" s="75" t="n"/>
      <c r="H209" s="28" t="n"/>
      <c r="J209" s="269" t="n"/>
      <c r="K209" s="270" t="n"/>
    </row>
    <row r="210" ht="13" customHeight="1">
      <c r="B210" s="75" t="n"/>
      <c r="C210" s="218" t="n"/>
      <c r="E210" s="75" t="n"/>
      <c r="G210" s="75" t="n"/>
      <c r="H210" s="28" t="n"/>
      <c r="J210" s="269" t="n"/>
      <c r="K210" s="270" t="n"/>
    </row>
    <row r="211" ht="13" customHeight="1">
      <c r="B211" s="75" t="n"/>
      <c r="E211" s="75" t="n"/>
      <c r="G211" s="75" t="n"/>
      <c r="H211" s="28" t="n"/>
      <c r="J211" s="269" t="n"/>
      <c r="K211" s="270" t="n"/>
    </row>
    <row r="212" ht="13" customHeight="1">
      <c r="B212" s="75" t="n"/>
      <c r="E212" s="75" t="n"/>
      <c r="G212" s="75" t="n"/>
      <c r="H212" s="28" t="n"/>
      <c r="J212" s="269" t="n"/>
      <c r="K212" s="270" t="n"/>
    </row>
    <row r="213" ht="13" customHeight="1">
      <c r="B213" s="75" t="n"/>
      <c r="E213" s="75" t="n"/>
      <c r="G213" s="75" t="n"/>
      <c r="H213" s="28" t="n"/>
      <c r="J213" s="269" t="n"/>
      <c r="K213" s="270" t="n"/>
    </row>
    <row r="214" ht="13" customHeight="1">
      <c r="B214" s="75" t="n"/>
      <c r="C214" s="218" t="n"/>
      <c r="E214" s="75" t="n"/>
      <c r="G214" s="75" t="n"/>
      <c r="H214" s="28" t="n"/>
      <c r="J214" s="269" t="n"/>
      <c r="K214" s="270" t="n"/>
    </row>
    <row r="215" ht="13" customHeight="1">
      <c r="B215" s="75" t="n"/>
      <c r="C215" s="218" t="n"/>
      <c r="E215" s="75" t="n"/>
      <c r="G215" s="75" t="n"/>
      <c r="H215" s="28" t="n"/>
      <c r="J215" s="269" t="n"/>
      <c r="K215" s="270" t="n"/>
    </row>
    <row r="216" ht="13" customHeight="1">
      <c r="B216" s="75" t="n"/>
      <c r="C216" s="218" t="n"/>
      <c r="E216" s="75" t="n"/>
      <c r="G216" s="75" t="n"/>
      <c r="H216" s="28" t="n"/>
      <c r="J216" s="269" t="n"/>
      <c r="K216" s="270" t="n"/>
    </row>
    <row r="217" ht="13" customHeight="1">
      <c r="B217" s="75" t="n"/>
      <c r="E217" s="75" t="n"/>
      <c r="G217" s="75" t="n"/>
      <c r="H217" s="28" t="n"/>
      <c r="J217" s="269" t="n"/>
      <c r="K217" s="270" t="n"/>
    </row>
    <row r="218" ht="13" customHeight="1">
      <c r="B218" s="75" t="n"/>
      <c r="E218" s="75" t="n"/>
      <c r="G218" s="75" t="n"/>
      <c r="H218" s="28" t="n"/>
      <c r="J218" s="269" t="n"/>
      <c r="K218" s="270" t="n"/>
    </row>
    <row r="219" ht="13" customHeight="1">
      <c r="B219" s="75" t="n"/>
      <c r="E219" s="75" t="n"/>
      <c r="G219" s="75" t="n"/>
      <c r="H219" s="28" t="n"/>
      <c r="J219" s="269" t="n"/>
      <c r="K219" s="270" t="n"/>
    </row>
    <row r="220" ht="13" customHeight="1">
      <c r="B220" s="75" t="n"/>
      <c r="E220" s="75" t="n"/>
      <c r="G220" s="75" t="n"/>
      <c r="H220" s="28" t="n"/>
      <c r="J220" s="269" t="n"/>
      <c r="K220" s="270" t="n"/>
    </row>
    <row r="221" ht="13" customHeight="1">
      <c r="B221" s="75" t="n"/>
      <c r="C221" s="218" t="n"/>
      <c r="E221" s="75" t="n"/>
      <c r="G221" s="75" t="n"/>
      <c r="H221" s="28" t="n"/>
      <c r="J221" s="269" t="n"/>
      <c r="K221" s="270" t="n"/>
    </row>
    <row r="222" ht="13" customHeight="1">
      <c r="B222" s="75" t="n"/>
      <c r="C222" s="218" t="n"/>
      <c r="E222" s="75" t="n"/>
      <c r="G222" s="75" t="n"/>
      <c r="H222" s="28" t="n"/>
      <c r="J222" s="269" t="n"/>
      <c r="K222" s="270" t="n"/>
    </row>
    <row r="223" ht="13" customHeight="1">
      <c r="B223" s="75" t="n"/>
      <c r="C223" s="218" t="n"/>
      <c r="E223" s="75" t="n"/>
      <c r="G223" s="75" t="n"/>
      <c r="H223" s="28" t="n"/>
      <c r="J223" s="269" t="n"/>
      <c r="K223" s="270" t="n"/>
    </row>
    <row r="224" ht="13" customHeight="1">
      <c r="B224" s="75" t="n"/>
      <c r="C224" s="218" t="n"/>
      <c r="E224" s="75" t="n"/>
      <c r="G224" s="75" t="n"/>
      <c r="H224" s="28" t="n"/>
      <c r="J224" s="269" t="n"/>
      <c r="K224" s="270" t="n"/>
    </row>
    <row r="225" ht="13" customHeight="1">
      <c r="B225" s="75" t="n"/>
      <c r="C225" s="218" t="n"/>
      <c r="E225" s="75" t="n"/>
      <c r="G225" s="75" t="n"/>
      <c r="H225" s="28" t="n"/>
      <c r="J225" s="269" t="n"/>
      <c r="K225" s="270" t="n"/>
    </row>
    <row r="226" ht="13" customHeight="1">
      <c r="B226" s="75" t="n"/>
      <c r="E226" s="75" t="n"/>
      <c r="G226" s="75" t="n"/>
      <c r="H226" s="28" t="n"/>
      <c r="J226" s="269" t="n"/>
      <c r="K226" s="270" t="n"/>
    </row>
    <row r="227" ht="13" customHeight="1">
      <c r="B227" s="75" t="n"/>
      <c r="E227" s="75" t="n"/>
      <c r="G227" s="75" t="n"/>
      <c r="H227" s="28" t="n"/>
      <c r="J227" s="269" t="n"/>
      <c r="K227" s="270" t="n"/>
    </row>
    <row r="228" ht="13" customHeight="1">
      <c r="B228" s="75" t="n"/>
      <c r="C228" s="218" t="n"/>
      <c r="E228" s="75" t="n"/>
      <c r="G228" s="75" t="n"/>
      <c r="H228" s="28" t="n"/>
      <c r="J228" s="269" t="n"/>
      <c r="K228" s="270" t="n"/>
    </row>
    <row r="229" ht="13" customHeight="1">
      <c r="B229" s="75" t="n"/>
      <c r="E229" s="75" t="n"/>
      <c r="G229" s="75" t="n"/>
      <c r="H229" s="28" t="n"/>
      <c r="J229" s="269" t="n"/>
      <c r="K229" s="270" t="n"/>
    </row>
    <row r="230" ht="13" customHeight="1">
      <c r="B230" s="75" t="n"/>
      <c r="C230" s="218" t="n"/>
      <c r="E230" s="75" t="n"/>
      <c r="G230" s="75" t="n"/>
      <c r="H230" s="28" t="n"/>
      <c r="J230" s="269" t="n"/>
      <c r="K230" s="270" t="n"/>
    </row>
    <row r="231" ht="13" customHeight="1">
      <c r="B231" s="75" t="n"/>
      <c r="E231" s="75" t="n"/>
      <c r="G231" s="75" t="n"/>
      <c r="H231" s="28" t="n"/>
      <c r="J231" s="269" t="n"/>
      <c r="K231" s="270" t="n"/>
    </row>
    <row r="232" ht="13" customHeight="1">
      <c r="B232" s="75" t="n"/>
      <c r="C232" s="218" t="n"/>
      <c r="E232" s="75" t="n"/>
      <c r="G232" s="75" t="n"/>
      <c r="H232" s="28" t="n"/>
      <c r="J232" s="269" t="n"/>
      <c r="K232" s="270" t="n"/>
    </row>
    <row r="233" ht="13" customHeight="1">
      <c r="B233" s="75" t="n"/>
      <c r="E233" s="75" t="n"/>
      <c r="G233" s="75" t="n"/>
      <c r="H233" s="28" t="n"/>
      <c r="J233" s="269" t="n"/>
      <c r="K233" s="270" t="n"/>
    </row>
    <row r="234" ht="13" customHeight="1">
      <c r="B234" s="75" t="n"/>
      <c r="C234" s="218" t="n"/>
      <c r="E234" s="75" t="n"/>
      <c r="G234" s="75" t="n"/>
      <c r="H234" s="28" t="n"/>
      <c r="J234" s="269" t="n"/>
      <c r="K234" s="270" t="n"/>
    </row>
    <row r="235" ht="13" customHeight="1">
      <c r="B235" s="75" t="n"/>
      <c r="C235" s="218" t="n"/>
      <c r="E235" s="75" t="n"/>
      <c r="G235" s="75" t="n"/>
      <c r="H235" s="28" t="n"/>
      <c r="J235" s="269" t="n"/>
      <c r="K235" s="270" t="n"/>
    </row>
    <row r="236" ht="13" customHeight="1">
      <c r="B236" s="75" t="n"/>
      <c r="C236" s="218" t="n"/>
      <c r="E236" s="75" t="n"/>
      <c r="G236" s="75" t="n"/>
      <c r="H236" s="28" t="n"/>
      <c r="J236" s="269" t="n"/>
      <c r="K236" s="270" t="n"/>
    </row>
    <row r="237" ht="13" customHeight="1">
      <c r="B237" s="75" t="n"/>
      <c r="E237" s="75" t="n"/>
      <c r="G237" s="75" t="n"/>
      <c r="H237" s="28" t="n"/>
      <c r="J237" s="269" t="n"/>
      <c r="K237" s="270" t="n"/>
    </row>
    <row r="238" ht="13" customHeight="1">
      <c r="B238" s="75" t="n"/>
      <c r="E238" s="75" t="n"/>
      <c r="G238" s="75" t="n"/>
      <c r="H238" s="28" t="n"/>
      <c r="J238" s="269" t="n"/>
      <c r="K238" s="270" t="n"/>
    </row>
    <row r="239" ht="13" customHeight="1">
      <c r="B239" s="75" t="n"/>
      <c r="C239" s="218" t="n"/>
      <c r="E239" s="75" t="n"/>
      <c r="G239" s="75" t="n"/>
      <c r="H239" s="28" t="n"/>
      <c r="J239" s="269" t="n"/>
      <c r="K239" s="270" t="n"/>
    </row>
    <row r="240" ht="13" customHeight="1">
      <c r="B240" s="75" t="n"/>
      <c r="E240" s="75" t="n"/>
      <c r="G240" s="75" t="n"/>
      <c r="H240" s="28" t="n"/>
      <c r="J240" s="269" t="n"/>
      <c r="K240" s="270" t="n"/>
    </row>
    <row r="241" ht="13" customHeight="1">
      <c r="B241" s="75" t="n"/>
      <c r="E241" s="75" t="n"/>
      <c r="G241" s="75" t="n"/>
      <c r="H241" s="28" t="n"/>
      <c r="J241" s="269" t="n"/>
      <c r="K241" s="270" t="n"/>
    </row>
    <row r="242" ht="13" customHeight="1">
      <c r="B242" s="75" t="n"/>
      <c r="E242" s="75" t="n"/>
      <c r="G242" s="75" t="n"/>
      <c r="H242" s="28" t="n"/>
      <c r="J242" s="269" t="n"/>
      <c r="K242" s="270" t="n"/>
    </row>
    <row r="243" ht="13" customHeight="1">
      <c r="B243" s="75" t="n"/>
      <c r="E243" s="75" t="n"/>
      <c r="G243" s="75" t="n"/>
      <c r="H243" s="28" t="n"/>
      <c r="J243" s="269" t="n"/>
      <c r="K243" s="270" t="n"/>
    </row>
    <row r="244" ht="13" customHeight="1">
      <c r="B244" s="75" t="n"/>
      <c r="C244" s="218" t="n"/>
      <c r="E244" s="75" t="n"/>
      <c r="G244" s="75" t="n"/>
      <c r="H244" s="28" t="n"/>
      <c r="J244" s="269" t="n"/>
      <c r="K244" s="270" t="n"/>
    </row>
    <row r="245" ht="13" customHeight="1">
      <c r="B245" s="75" t="n"/>
      <c r="C245" s="218" t="n"/>
      <c r="E245" s="75" t="n"/>
      <c r="G245" s="75" t="n"/>
      <c r="H245" s="28" t="n"/>
      <c r="J245" s="269" t="n"/>
      <c r="K245" s="270" t="n"/>
    </row>
    <row r="246" ht="13" customHeight="1">
      <c r="B246" s="75" t="n"/>
      <c r="E246" s="75" t="n"/>
      <c r="G246" s="75" t="n"/>
      <c r="H246" s="28" t="n"/>
      <c r="J246" s="269" t="n"/>
      <c r="K246" s="270" t="n"/>
    </row>
    <row r="247" ht="13" customHeight="1">
      <c r="B247" s="75" t="n"/>
      <c r="E247" s="75" t="n"/>
      <c r="G247" s="75" t="n"/>
      <c r="H247" s="28" t="n"/>
      <c r="J247" s="269" t="n"/>
      <c r="K247" s="270" t="n"/>
    </row>
    <row r="248" ht="13" customHeight="1">
      <c r="B248" s="75" t="n"/>
      <c r="E248" s="75" t="n"/>
      <c r="G248" s="75" t="n"/>
      <c r="H248" s="28" t="n"/>
      <c r="J248" s="269" t="n"/>
      <c r="K248" s="270" t="n"/>
    </row>
    <row r="249" ht="13" customHeight="1">
      <c r="B249" s="75" t="n"/>
      <c r="C249" s="218" t="n"/>
      <c r="E249" s="75" t="n"/>
      <c r="G249" s="75" t="n"/>
      <c r="H249" s="28" t="n"/>
      <c r="J249" s="269" t="n"/>
      <c r="K249" s="270" t="n"/>
    </row>
    <row r="250" ht="13" customHeight="1">
      <c r="B250" s="75" t="n"/>
      <c r="E250" s="75" t="n"/>
      <c r="G250" s="75" t="n"/>
      <c r="H250" s="28" t="n"/>
      <c r="J250" s="269" t="n"/>
      <c r="K250" s="270" t="n"/>
    </row>
    <row r="251" ht="13" customHeight="1">
      <c r="B251" s="75" t="n"/>
      <c r="E251" s="75" t="n"/>
      <c r="G251" s="75" t="n"/>
      <c r="H251" s="28" t="n"/>
      <c r="J251" s="269" t="n"/>
      <c r="K251" s="270" t="n"/>
    </row>
    <row r="252" ht="13" customHeight="1">
      <c r="B252" s="75" t="n"/>
      <c r="C252" s="218" t="n"/>
      <c r="E252" s="75" t="n"/>
      <c r="G252" s="75" t="n"/>
      <c r="H252" s="28" t="n"/>
      <c r="J252" s="269" t="n"/>
      <c r="K252" s="270" t="n"/>
    </row>
    <row r="253" ht="13" customHeight="1">
      <c r="B253" s="75" t="n"/>
      <c r="E253" s="75" t="n"/>
      <c r="G253" s="75" t="n"/>
      <c r="H253" s="28" t="n"/>
      <c r="J253" s="269" t="n"/>
      <c r="K253" s="270" t="n"/>
    </row>
    <row r="254" ht="13" customHeight="1">
      <c r="B254" s="75" t="n"/>
      <c r="C254" s="218" t="n"/>
      <c r="E254" s="75" t="n"/>
      <c r="G254" s="75" t="n"/>
      <c r="H254" s="28" t="n"/>
      <c r="J254" s="269" t="n"/>
      <c r="K254" s="270" t="n"/>
    </row>
    <row r="255" ht="13" customHeight="1">
      <c r="B255" s="75" t="n"/>
      <c r="C255" s="218" t="n"/>
      <c r="E255" s="75" t="n"/>
      <c r="G255" s="75" t="n"/>
      <c r="H255" s="28" t="n"/>
      <c r="J255" s="269" t="n"/>
      <c r="K255" s="270" t="n"/>
    </row>
    <row r="256" ht="13" customHeight="1">
      <c r="B256" s="75" t="n"/>
      <c r="C256" s="218" t="n"/>
      <c r="E256" s="75" t="n"/>
      <c r="G256" s="75" t="n"/>
      <c r="H256" s="28" t="n"/>
      <c r="J256" s="269" t="n"/>
      <c r="K256" s="270" t="n"/>
    </row>
    <row r="257" ht="13" customHeight="1">
      <c r="B257" s="75" t="n"/>
      <c r="E257" s="75" t="n"/>
      <c r="G257" s="75" t="n"/>
      <c r="H257" s="28" t="n"/>
      <c r="J257" s="269" t="n"/>
      <c r="K257" s="270" t="n"/>
    </row>
    <row r="258" ht="13" customHeight="1">
      <c r="B258" s="75" t="n"/>
      <c r="E258" s="75" t="n"/>
      <c r="G258" s="75" t="n"/>
      <c r="H258" s="28" t="n"/>
      <c r="J258" s="269" t="n"/>
      <c r="K258" s="270" t="n"/>
    </row>
    <row r="259" ht="13" customHeight="1">
      <c r="B259" s="75" t="n"/>
      <c r="E259" s="75" t="n"/>
      <c r="G259" s="75" t="n"/>
      <c r="H259" s="28" t="n"/>
      <c r="J259" s="269" t="n"/>
      <c r="K259" s="270" t="n"/>
    </row>
    <row r="260" ht="13" customHeight="1">
      <c r="B260" s="75" t="n"/>
      <c r="E260" s="75" t="n"/>
      <c r="G260" s="75" t="n"/>
      <c r="H260" s="28" t="n"/>
      <c r="J260" s="269" t="n"/>
      <c r="K260" s="270" t="n"/>
    </row>
    <row r="261" ht="13" customHeight="1">
      <c r="B261" s="75" t="n"/>
      <c r="E261" s="75" t="n"/>
      <c r="G261" s="75" t="n"/>
      <c r="H261" s="28" t="n"/>
      <c r="J261" s="269" t="n"/>
      <c r="K261" s="270" t="n"/>
    </row>
    <row r="262" ht="13" customHeight="1">
      <c r="B262" s="75" t="n"/>
      <c r="E262" s="75" t="n"/>
      <c r="G262" s="75" t="n"/>
      <c r="H262" s="28" t="n"/>
      <c r="J262" s="269" t="n"/>
      <c r="K262" s="270" t="n"/>
    </row>
    <row r="263" ht="13" customHeight="1">
      <c r="B263" s="75" t="n"/>
      <c r="C263" s="218" t="n"/>
      <c r="E263" s="75" t="n"/>
      <c r="G263" s="75" t="n"/>
      <c r="H263" s="28" t="n"/>
      <c r="J263" s="269" t="n"/>
      <c r="K263" s="270" t="n"/>
    </row>
    <row r="264" ht="13" customHeight="1">
      <c r="B264" s="75" t="n"/>
      <c r="C264" s="218" t="n"/>
      <c r="E264" s="75" t="n"/>
      <c r="G264" s="75" t="n"/>
      <c r="H264" s="28" t="n"/>
      <c r="J264" s="269" t="n"/>
      <c r="K264" s="270" t="n"/>
    </row>
    <row r="265" ht="13" customHeight="1">
      <c r="B265" s="75" t="n"/>
      <c r="C265" s="218" t="n"/>
      <c r="E265" s="75" t="n"/>
      <c r="G265" s="75" t="n"/>
      <c r="H265" s="28" t="n"/>
      <c r="J265" s="269" t="n"/>
      <c r="K265" s="270" t="n"/>
    </row>
    <row r="266" ht="13" customHeight="1">
      <c r="B266" s="75" t="n"/>
      <c r="C266" s="218" t="n"/>
      <c r="E266" s="75" t="n"/>
      <c r="G266" s="75" t="n"/>
      <c r="H266" s="28" t="n"/>
      <c r="J266" s="269" t="n"/>
      <c r="K266" s="270" t="n"/>
    </row>
    <row r="267" ht="13" customHeight="1">
      <c r="B267" s="75" t="n"/>
      <c r="E267" s="75" t="n"/>
      <c r="G267" s="75" t="n"/>
      <c r="H267" s="28" t="n"/>
      <c r="J267" s="269" t="n"/>
      <c r="K267" s="270" t="n"/>
    </row>
    <row r="268" ht="13" customHeight="1">
      <c r="B268" s="75" t="n"/>
      <c r="E268" s="75" t="n"/>
      <c r="G268" s="75" t="n"/>
      <c r="H268" s="28" t="n"/>
      <c r="J268" s="269" t="n"/>
      <c r="K268" s="270" t="n"/>
    </row>
    <row r="269" ht="13" customHeight="1">
      <c r="B269" s="75" t="n"/>
      <c r="C269" s="218" t="n"/>
      <c r="E269" s="75" t="n"/>
      <c r="G269" s="75" t="n"/>
      <c r="H269" s="28" t="n"/>
      <c r="J269" s="269" t="n"/>
      <c r="K269" s="270" t="n"/>
    </row>
    <row r="270" ht="13" customHeight="1">
      <c r="B270" s="75" t="n"/>
      <c r="C270" s="218" t="n"/>
      <c r="E270" s="75" t="n"/>
      <c r="G270" s="75" t="n"/>
      <c r="H270" s="28" t="n"/>
      <c r="J270" s="269" t="n"/>
      <c r="K270" s="270" t="n"/>
    </row>
    <row r="271" ht="13" customHeight="1">
      <c r="B271" s="75" t="n"/>
      <c r="E271" s="75" t="n"/>
      <c r="G271" s="75" t="n"/>
      <c r="H271" s="28" t="n"/>
      <c r="J271" s="269" t="n"/>
      <c r="K271" s="270" t="n"/>
    </row>
    <row r="272" ht="13" customHeight="1">
      <c r="B272" s="75" t="n"/>
      <c r="E272" s="75" t="n"/>
      <c r="G272" s="75" t="n"/>
      <c r="H272" s="28" t="n"/>
      <c r="J272" s="269" t="n"/>
      <c r="K272" s="270" t="n"/>
    </row>
    <row r="273" ht="13" customHeight="1">
      <c r="B273" s="75" t="n"/>
      <c r="E273" s="75" t="n"/>
      <c r="G273" s="75" t="n"/>
      <c r="H273" s="28" t="n"/>
      <c r="J273" s="269" t="n"/>
      <c r="K273" s="270" t="n"/>
    </row>
    <row r="274" ht="13" customHeight="1">
      <c r="B274" s="75" t="n"/>
      <c r="E274" s="75" t="n"/>
      <c r="G274" s="75" t="n"/>
      <c r="H274" s="28" t="n"/>
      <c r="J274" s="269" t="n"/>
      <c r="K274" s="270" t="n"/>
    </row>
    <row r="275" ht="13" customHeight="1">
      <c r="B275" s="75" t="n"/>
      <c r="E275" s="75" t="n"/>
      <c r="G275" s="75" t="n"/>
      <c r="H275" s="28" t="n"/>
      <c r="J275" s="269" t="n"/>
      <c r="K275" s="270" t="n"/>
    </row>
    <row r="276" ht="13" customHeight="1">
      <c r="B276" s="75" t="n"/>
      <c r="C276" s="218" t="n"/>
      <c r="E276" s="75" t="n"/>
      <c r="G276" s="75" t="n"/>
      <c r="H276" s="28" t="n"/>
      <c r="J276" s="269" t="n"/>
      <c r="K276" s="270" t="n"/>
    </row>
    <row r="277" ht="13" customHeight="1">
      <c r="B277" s="75" t="n"/>
      <c r="E277" s="75" t="n"/>
      <c r="G277" s="75" t="n"/>
      <c r="H277" s="28" t="n"/>
      <c r="J277" s="269" t="n"/>
      <c r="K277" s="270" t="n"/>
    </row>
    <row r="278" ht="13" customHeight="1">
      <c r="B278" s="75" t="n"/>
      <c r="C278" s="218" t="n"/>
      <c r="E278" s="75" t="n"/>
      <c r="G278" s="75" t="n"/>
      <c r="H278" s="28" t="n"/>
      <c r="J278" s="269" t="n"/>
      <c r="K278" s="270" t="n"/>
    </row>
    <row r="279" ht="13" customHeight="1">
      <c r="B279" s="75" t="n"/>
      <c r="C279" s="218" t="n"/>
      <c r="E279" s="75" t="n"/>
      <c r="G279" s="75" t="n"/>
      <c r="H279" s="28" t="n"/>
      <c r="J279" s="269" t="n"/>
      <c r="K279" s="270" t="n"/>
    </row>
    <row r="280" ht="13" customHeight="1">
      <c r="B280" s="75" t="n"/>
      <c r="C280" s="218" t="n"/>
      <c r="E280" s="75" t="n"/>
      <c r="G280" s="75" t="n"/>
      <c r="H280" s="28" t="n"/>
      <c r="J280" s="269" t="n"/>
      <c r="K280" s="270" t="n"/>
    </row>
    <row r="281" ht="13" customHeight="1">
      <c r="B281" s="75" t="n"/>
      <c r="E281" s="75" t="n"/>
      <c r="G281" s="75" t="n"/>
      <c r="H281" s="28" t="n"/>
      <c r="J281" s="269" t="n"/>
      <c r="K281" s="270" t="n"/>
    </row>
    <row r="282" ht="13" customHeight="1">
      <c r="B282" s="75" t="n"/>
      <c r="C282" s="218" t="n"/>
      <c r="E282" s="75" t="n"/>
      <c r="G282" s="75" t="n"/>
      <c r="H282" s="28" t="n"/>
      <c r="J282" s="269" t="n"/>
      <c r="K282" s="270" t="n"/>
    </row>
    <row r="283" ht="13" customHeight="1">
      <c r="B283" s="75" t="n"/>
      <c r="E283" s="75" t="n"/>
      <c r="G283" s="75" t="n"/>
      <c r="H283" s="28" t="n"/>
      <c r="J283" s="269" t="n"/>
      <c r="K283" s="270" t="n"/>
    </row>
    <row r="284" ht="13" customHeight="1">
      <c r="B284" s="75" t="n"/>
      <c r="E284" s="75" t="n"/>
      <c r="G284" s="75" t="n"/>
      <c r="H284" s="28" t="n"/>
      <c r="J284" s="269" t="n"/>
      <c r="K284" s="270" t="n"/>
    </row>
    <row r="285" ht="13" customHeight="1">
      <c r="B285" s="75" t="n"/>
      <c r="E285" s="75" t="n"/>
      <c r="G285" s="75" t="n"/>
      <c r="H285" s="28" t="n"/>
      <c r="J285" s="269" t="n"/>
      <c r="K285" s="270" t="n"/>
    </row>
    <row r="286" ht="13" customHeight="1">
      <c r="B286" s="75" t="n"/>
      <c r="C286" s="218" t="n"/>
      <c r="E286" s="75" t="n"/>
      <c r="G286" s="75" t="n"/>
      <c r="H286" s="28" t="n"/>
      <c r="J286" s="269" t="n"/>
      <c r="K286" s="270" t="n"/>
    </row>
    <row r="287" ht="13" customHeight="1">
      <c r="B287" s="75" t="n"/>
      <c r="C287" s="218" t="n"/>
      <c r="E287" s="75" t="n"/>
      <c r="G287" s="75" t="n"/>
      <c r="H287" s="28" t="n"/>
      <c r="J287" s="269" t="n"/>
      <c r="K287" s="270" t="n"/>
    </row>
    <row r="288" ht="13" customHeight="1">
      <c r="B288" s="75" t="n"/>
      <c r="E288" s="75" t="n"/>
      <c r="G288" s="75" t="n"/>
      <c r="H288" s="28" t="n"/>
      <c r="J288" s="269" t="n"/>
      <c r="K288" s="270" t="n"/>
    </row>
    <row r="289" ht="13" customHeight="1">
      <c r="B289" s="75" t="n"/>
      <c r="C289" s="218" t="n"/>
      <c r="E289" s="75" t="n"/>
      <c r="G289" s="75" t="n"/>
      <c r="H289" s="28" t="n"/>
      <c r="J289" s="269" t="n"/>
      <c r="K289" s="270" t="n"/>
    </row>
    <row r="290" ht="13" customHeight="1">
      <c r="B290" s="75" t="n"/>
      <c r="E290" s="75" t="n"/>
      <c r="G290" s="75" t="n"/>
      <c r="H290" s="28" t="n"/>
      <c r="J290" s="269" t="n"/>
      <c r="K290" s="270" t="n"/>
    </row>
    <row r="291" ht="13" customHeight="1">
      <c r="B291" s="75" t="n"/>
      <c r="C291" s="218" t="n"/>
      <c r="E291" s="75" t="n"/>
      <c r="G291" s="75" t="n"/>
      <c r="H291" s="28" t="n"/>
      <c r="J291" s="269" t="n"/>
      <c r="K291" s="270" t="n"/>
    </row>
    <row r="292" ht="13" customHeight="1">
      <c r="B292" s="75" t="n"/>
      <c r="C292" s="218" t="n"/>
      <c r="E292" s="75" t="n"/>
      <c r="G292" s="75" t="n"/>
      <c r="H292" s="28" t="n"/>
      <c r="J292" s="269" t="n"/>
      <c r="K292" s="270" t="n"/>
    </row>
    <row r="293" ht="13" customHeight="1">
      <c r="B293" s="75" t="n"/>
      <c r="C293" s="218" t="n"/>
      <c r="E293" s="75" t="n"/>
      <c r="G293" s="75" t="n"/>
      <c r="H293" s="28" t="n"/>
      <c r="J293" s="269" t="n"/>
      <c r="K293" s="270" t="n"/>
    </row>
    <row r="294" ht="13" customHeight="1">
      <c r="B294" s="75" t="n"/>
      <c r="C294" s="218" t="n"/>
      <c r="E294" s="75" t="n"/>
      <c r="G294" s="75" t="n"/>
      <c r="H294" s="28" t="n"/>
      <c r="J294" s="269" t="n"/>
      <c r="K294" s="270" t="n"/>
    </row>
    <row r="295" ht="13" customHeight="1">
      <c r="B295" s="75" t="n"/>
      <c r="C295" s="218" t="n"/>
      <c r="E295" s="75" t="n"/>
      <c r="G295" s="75" t="n"/>
      <c r="H295" s="28" t="n"/>
      <c r="J295" s="269" t="n"/>
      <c r="K295" s="270" t="n"/>
    </row>
    <row r="296" ht="13" customHeight="1">
      <c r="B296" s="75" t="n"/>
      <c r="C296" s="218" t="n"/>
      <c r="E296" s="75" t="n"/>
      <c r="G296" s="75" t="n"/>
      <c r="H296" s="28" t="n"/>
      <c r="J296" s="269" t="n"/>
      <c r="K296" s="270" t="n"/>
    </row>
    <row r="297" ht="13" customHeight="1">
      <c r="B297" s="75" t="n"/>
      <c r="C297" s="218" t="n"/>
      <c r="E297" s="75" t="n"/>
      <c r="G297" s="75" t="n"/>
      <c r="H297" s="28" t="n"/>
      <c r="J297" s="269" t="n"/>
      <c r="K297" s="270" t="n"/>
    </row>
    <row r="298" ht="13" customHeight="1">
      <c r="B298" s="75" t="n"/>
      <c r="C298" s="218" t="n"/>
      <c r="E298" s="75" t="n"/>
      <c r="G298" s="75" t="n"/>
      <c r="H298" s="28" t="n"/>
      <c r="J298" s="269" t="n"/>
      <c r="K298" s="270" t="n"/>
    </row>
    <row r="299" ht="13" customHeight="1">
      <c r="B299" s="75" t="n"/>
      <c r="C299" s="218" t="n"/>
      <c r="E299" s="75" t="n"/>
      <c r="G299" s="75" t="n"/>
      <c r="H299" s="28" t="n"/>
      <c r="J299" s="269" t="n"/>
      <c r="K299" s="270" t="n"/>
    </row>
    <row r="300" ht="13" customHeight="1">
      <c r="B300" s="75" t="n"/>
      <c r="E300" s="75" t="n"/>
      <c r="G300" s="75" t="n"/>
      <c r="H300" s="28" t="n"/>
      <c r="J300" s="269" t="n"/>
      <c r="K300" s="270" t="n"/>
    </row>
    <row r="301" ht="13" customHeight="1">
      <c r="B301" s="75" t="n"/>
      <c r="C301" s="218" t="n"/>
      <c r="E301" s="75" t="n"/>
      <c r="G301" s="75" t="n"/>
      <c r="H301" s="28" t="n"/>
      <c r="J301" s="269" t="n"/>
      <c r="K301" s="270" t="n"/>
    </row>
    <row r="302" ht="13" customHeight="1">
      <c r="B302" s="75" t="n"/>
      <c r="E302" s="75" t="n"/>
      <c r="G302" s="75" t="n"/>
      <c r="H302" s="28" t="n"/>
      <c r="J302" s="269" t="n"/>
      <c r="K302" s="270" t="n"/>
    </row>
    <row r="303" ht="13" customHeight="1">
      <c r="B303" s="75" t="n"/>
      <c r="C303" s="218" t="n"/>
      <c r="E303" s="75" t="n"/>
      <c r="G303" s="75" t="n"/>
      <c r="H303" s="28" t="n"/>
      <c r="J303" s="269" t="n"/>
      <c r="K303" s="270" t="n"/>
    </row>
    <row r="304" ht="13" customHeight="1">
      <c r="B304" s="75" t="n"/>
      <c r="E304" s="75" t="n"/>
      <c r="G304" s="75" t="n"/>
      <c r="H304" s="28" t="n"/>
      <c r="J304" s="269" t="n"/>
      <c r="K304" s="270" t="n"/>
    </row>
    <row r="305" ht="13" customHeight="1">
      <c r="B305" s="75" t="n"/>
      <c r="E305" s="75" t="n"/>
      <c r="G305" s="75" t="n"/>
      <c r="H305" s="28" t="n"/>
      <c r="J305" s="269" t="n"/>
      <c r="K305" s="270" t="n"/>
    </row>
    <row r="306" ht="13" customHeight="1">
      <c r="B306" s="75" t="n"/>
      <c r="E306" s="75" t="n"/>
      <c r="G306" s="75" t="n"/>
      <c r="H306" s="28" t="n"/>
      <c r="J306" s="269" t="n"/>
      <c r="K306" s="270" t="n"/>
    </row>
    <row r="307" ht="13" customHeight="1">
      <c r="B307" s="75" t="n"/>
      <c r="E307" s="75" t="n"/>
      <c r="G307" s="75" t="n"/>
      <c r="H307" s="28" t="n"/>
      <c r="J307" s="269" t="n"/>
      <c r="K307" s="270" t="n"/>
    </row>
    <row r="308" ht="13" customHeight="1">
      <c r="B308" s="75" t="n"/>
      <c r="C308" s="218" t="n"/>
      <c r="E308" s="75" t="n"/>
      <c r="G308" s="75" t="n"/>
      <c r="H308" s="28" t="n"/>
      <c r="J308" s="269" t="n"/>
      <c r="K308" s="270" t="n"/>
    </row>
    <row r="309" ht="13" customHeight="1">
      <c r="B309" s="75" t="n"/>
      <c r="C309" s="218" t="n"/>
      <c r="E309" s="75" t="n"/>
      <c r="G309" s="75" t="n"/>
      <c r="H309" s="28" t="n"/>
      <c r="J309" s="269" t="n"/>
      <c r="K309" s="270" t="n"/>
    </row>
    <row r="310" ht="13" customHeight="1">
      <c r="B310" s="75" t="n"/>
      <c r="C310" s="218" t="n"/>
      <c r="E310" s="75" t="n"/>
      <c r="G310" s="75" t="n"/>
      <c r="H310" s="28" t="n"/>
      <c r="J310" s="269" t="n"/>
      <c r="K310" s="270" t="n"/>
    </row>
    <row r="311" ht="13" customHeight="1">
      <c r="B311" s="75" t="n"/>
      <c r="E311" s="75" t="n"/>
      <c r="G311" s="75" t="n"/>
      <c r="H311" s="28" t="n"/>
      <c r="J311" s="269" t="n"/>
      <c r="K311" s="270" t="n"/>
    </row>
    <row r="312" ht="13" customHeight="1">
      <c r="B312" s="75" t="n"/>
      <c r="E312" s="75" t="n"/>
      <c r="G312" s="75" t="n"/>
      <c r="H312" s="28" t="n"/>
      <c r="J312" s="269" t="n"/>
      <c r="K312" s="270" t="n"/>
    </row>
    <row r="313" ht="13" customHeight="1">
      <c r="B313" s="75" t="n"/>
      <c r="E313" s="75" t="n"/>
      <c r="G313" s="75" t="n"/>
      <c r="H313" s="28" t="n"/>
      <c r="J313" s="269" t="n"/>
      <c r="K313" s="270" t="n"/>
    </row>
    <row r="314" ht="13" customHeight="1">
      <c r="B314" s="75" t="n"/>
      <c r="E314" s="75" t="n"/>
      <c r="G314" s="75" t="n"/>
      <c r="H314" s="28" t="n"/>
      <c r="J314" s="269" t="n"/>
      <c r="K314" s="270" t="n"/>
    </row>
    <row r="315" ht="13" customHeight="1">
      <c r="B315" s="75" t="n"/>
      <c r="E315" s="75" t="n"/>
      <c r="G315" s="75" t="n"/>
      <c r="H315" s="28" t="n"/>
      <c r="J315" s="269" t="n"/>
      <c r="K315" s="270" t="n"/>
    </row>
    <row r="316" ht="13" customHeight="1">
      <c r="B316" s="75" t="n"/>
      <c r="C316" s="218" t="n"/>
      <c r="E316" s="75" t="n"/>
      <c r="G316" s="75" t="n"/>
      <c r="H316" s="28" t="n"/>
      <c r="J316" s="269" t="n"/>
      <c r="K316" s="270" t="n"/>
    </row>
    <row r="317" ht="13" customHeight="1">
      <c r="B317" s="75" t="n"/>
      <c r="C317" s="218" t="n"/>
      <c r="E317" s="75" t="n"/>
      <c r="G317" s="75" t="n"/>
      <c r="H317" s="28" t="n"/>
      <c r="J317" s="269" t="n"/>
      <c r="K317" s="270" t="n"/>
    </row>
    <row r="318" ht="13" customHeight="1">
      <c r="B318" s="75" t="n"/>
      <c r="E318" s="75" t="n"/>
      <c r="G318" s="75" t="n"/>
      <c r="H318" s="28" t="n"/>
      <c r="J318" s="269" t="n"/>
      <c r="K318" s="270" t="n"/>
    </row>
    <row r="319" ht="13" customHeight="1">
      <c r="B319" s="75" t="n"/>
      <c r="C319" s="218" t="n"/>
      <c r="E319" s="75" t="n"/>
      <c r="G319" s="75" t="n"/>
      <c r="H319" s="28" t="n"/>
      <c r="J319" s="269" t="n"/>
      <c r="K319" s="270" t="n"/>
    </row>
    <row r="320" ht="13" customHeight="1">
      <c r="B320" s="75" t="n"/>
      <c r="E320" s="75" t="n"/>
      <c r="G320" s="75" t="n"/>
      <c r="H320" s="28" t="n"/>
      <c r="J320" s="269" t="n"/>
      <c r="K320" s="270" t="n"/>
    </row>
    <row r="321" ht="13" customHeight="1">
      <c r="B321" s="75" t="n"/>
      <c r="E321" s="75" t="n"/>
      <c r="G321" s="75" t="n"/>
      <c r="H321" s="28" t="n"/>
      <c r="J321" s="269" t="n"/>
      <c r="K321" s="270" t="n"/>
    </row>
    <row r="322" ht="13" customHeight="1">
      <c r="B322" s="75" t="n"/>
      <c r="E322" s="75" t="n"/>
      <c r="G322" s="75" t="n"/>
      <c r="H322" s="28" t="n"/>
      <c r="J322" s="269" t="n"/>
      <c r="K322" s="270" t="n"/>
    </row>
    <row r="323" ht="13" customHeight="1">
      <c r="B323" s="75" t="n"/>
      <c r="C323" s="218" t="n"/>
      <c r="E323" s="75" t="n"/>
      <c r="G323" s="75" t="n"/>
      <c r="H323" s="28" t="n"/>
      <c r="J323" s="269" t="n"/>
      <c r="K323" s="270" t="n"/>
    </row>
    <row r="324" ht="13" customHeight="1">
      <c r="B324" s="75" t="n"/>
      <c r="C324" s="218" t="n"/>
      <c r="E324" s="75" t="n"/>
      <c r="G324" s="75" t="n"/>
      <c r="H324" s="28" t="n"/>
      <c r="J324" s="269" t="n"/>
      <c r="K324" s="270" t="n"/>
    </row>
    <row r="325" ht="13" customHeight="1">
      <c r="B325" s="75" t="n"/>
      <c r="E325" s="75" t="n"/>
      <c r="G325" s="75" t="n"/>
      <c r="H325" s="28" t="n"/>
      <c r="J325" s="269" t="n"/>
      <c r="K325" s="270" t="n"/>
    </row>
    <row r="326" ht="13" customHeight="1">
      <c r="B326" s="75" t="n"/>
      <c r="E326" s="75" t="n"/>
      <c r="G326" s="75" t="n"/>
      <c r="H326" s="28" t="n"/>
      <c r="J326" s="269" t="n"/>
      <c r="K326" s="270" t="n"/>
    </row>
    <row r="327" ht="13" customHeight="1">
      <c r="B327" s="75" t="n"/>
      <c r="C327" s="218" t="n"/>
      <c r="E327" s="75" t="n"/>
      <c r="G327" s="75" t="n"/>
      <c r="H327" s="28" t="n"/>
      <c r="J327" s="269" t="n"/>
      <c r="K327" s="270" t="n"/>
    </row>
    <row r="328" ht="13" customHeight="1">
      <c r="B328" s="75" t="n"/>
      <c r="C328" s="218" t="n"/>
      <c r="E328" s="75" t="n"/>
      <c r="G328" s="75" t="n"/>
      <c r="H328" s="28" t="n"/>
      <c r="J328" s="269" t="n"/>
      <c r="K328" s="270" t="n"/>
    </row>
    <row r="329" ht="13" customHeight="1">
      <c r="B329" s="75" t="n"/>
      <c r="E329" s="75" t="n"/>
      <c r="G329" s="75" t="n"/>
      <c r="H329" s="28" t="n"/>
      <c r="J329" s="269" t="n"/>
      <c r="K329" s="270" t="n"/>
    </row>
    <row r="330" ht="13" customHeight="1">
      <c r="B330" s="75" t="n"/>
      <c r="C330" s="218" t="n"/>
      <c r="E330" s="75" t="n"/>
      <c r="G330" s="75" t="n"/>
      <c r="H330" s="28" t="n"/>
      <c r="J330" s="269" t="n"/>
      <c r="K330" s="270" t="n"/>
    </row>
    <row r="331" ht="13" customHeight="1">
      <c r="B331" s="75" t="n"/>
      <c r="C331" s="218" t="n"/>
      <c r="E331" s="75" t="n"/>
      <c r="G331" s="75" t="n"/>
      <c r="H331" s="28" t="n"/>
      <c r="J331" s="269" t="n"/>
      <c r="K331" s="270" t="n"/>
    </row>
    <row r="332" ht="13" customHeight="1">
      <c r="B332" s="75" t="n"/>
      <c r="E332" s="75" t="n"/>
      <c r="G332" s="75" t="n"/>
      <c r="H332" s="28" t="n"/>
      <c r="J332" s="269" t="n"/>
      <c r="K332" s="270" t="n"/>
    </row>
    <row r="333" ht="13" customHeight="1">
      <c r="B333" s="75" t="n"/>
      <c r="E333" s="75" t="n"/>
      <c r="G333" s="75" t="n"/>
      <c r="H333" s="28" t="n"/>
      <c r="J333" s="269" t="n"/>
      <c r="K333" s="270" t="n"/>
    </row>
    <row r="334" ht="13" customHeight="1">
      <c r="B334" s="75" t="n"/>
      <c r="E334" s="75" t="n"/>
      <c r="G334" s="75" t="n"/>
      <c r="H334" s="28" t="n"/>
      <c r="J334" s="269" t="n"/>
      <c r="K334" s="270" t="n"/>
    </row>
    <row r="335" ht="13" customHeight="1">
      <c r="B335" s="75" t="n"/>
      <c r="E335" s="75" t="n"/>
      <c r="G335" s="75" t="n"/>
      <c r="H335" s="28" t="n"/>
      <c r="J335" s="269" t="n"/>
      <c r="K335" s="270" t="n"/>
    </row>
    <row r="336" ht="13" customHeight="1">
      <c r="B336" s="75" t="n"/>
      <c r="E336" s="75" t="n"/>
      <c r="G336" s="75" t="n"/>
      <c r="H336" s="28" t="n"/>
      <c r="J336" s="269" t="n"/>
      <c r="K336" s="270" t="n"/>
    </row>
    <row r="337" ht="13" customHeight="1">
      <c r="B337" s="75" t="n"/>
      <c r="C337" s="218" t="n"/>
      <c r="E337" s="75" t="n"/>
      <c r="G337" s="75" t="n"/>
      <c r="H337" s="28" t="n"/>
      <c r="J337" s="269" t="n"/>
      <c r="K337" s="270" t="n"/>
    </row>
    <row r="338" ht="13" customHeight="1">
      <c r="B338" s="75" t="n"/>
      <c r="C338" s="218" t="n"/>
      <c r="E338" s="75" t="n"/>
      <c r="G338" s="75" t="n"/>
      <c r="H338" s="28" t="n"/>
      <c r="J338" s="269" t="n"/>
      <c r="K338" s="270" t="n"/>
    </row>
    <row r="339" ht="13" customHeight="1">
      <c r="B339" s="75" t="n"/>
      <c r="C339" s="218" t="n"/>
      <c r="E339" s="75" t="n"/>
      <c r="G339" s="75" t="n"/>
      <c r="H339" s="28" t="n"/>
      <c r="J339" s="269" t="n"/>
      <c r="K339" s="270" t="n"/>
    </row>
    <row r="340" ht="13" customHeight="1">
      <c r="B340" s="75" t="n"/>
      <c r="C340" s="218" t="n"/>
      <c r="E340" s="75" t="n"/>
      <c r="G340" s="75" t="n"/>
      <c r="H340" s="28" t="n"/>
      <c r="J340" s="269" t="n"/>
      <c r="K340" s="270" t="n"/>
    </row>
    <row r="341" ht="13" customHeight="1">
      <c r="B341" s="75" t="n"/>
      <c r="C341" s="218" t="n"/>
      <c r="E341" s="75" t="n"/>
      <c r="G341" s="75" t="n"/>
      <c r="H341" s="28" t="n"/>
      <c r="J341" s="269" t="n"/>
      <c r="K341" s="270" t="n"/>
    </row>
    <row r="342" ht="13" customHeight="1">
      <c r="B342" s="75" t="n"/>
      <c r="C342" s="218" t="n"/>
      <c r="E342" s="75" t="n"/>
      <c r="G342" s="75" t="n"/>
      <c r="H342" s="28" t="n"/>
      <c r="J342" s="269" t="n"/>
      <c r="K342" s="270" t="n"/>
    </row>
    <row r="343" ht="13" customHeight="1">
      <c r="B343" s="75" t="n"/>
      <c r="E343" s="75" t="n"/>
      <c r="G343" s="75" t="n"/>
      <c r="H343" s="28" t="n"/>
      <c r="J343" s="269" t="n"/>
      <c r="K343" s="270" t="n"/>
    </row>
    <row r="344" ht="13" customHeight="1">
      <c r="B344" s="75" t="n"/>
      <c r="C344" s="218" t="n"/>
      <c r="E344" s="75" t="n"/>
      <c r="G344" s="75" t="n"/>
      <c r="H344" s="28" t="n"/>
      <c r="J344" s="269" t="n"/>
      <c r="K344" s="270" t="n"/>
    </row>
    <row r="345" ht="13" customHeight="1">
      <c r="B345" s="75" t="n"/>
      <c r="C345" s="218" t="n"/>
      <c r="E345" s="75" t="n"/>
      <c r="G345" s="75" t="n"/>
      <c r="H345" s="28" t="n"/>
      <c r="J345" s="269" t="n"/>
      <c r="K345" s="270" t="n"/>
    </row>
    <row r="346" ht="13" customHeight="1">
      <c r="B346" s="75" t="n"/>
      <c r="E346" s="75" t="n"/>
      <c r="G346" s="75" t="n"/>
      <c r="H346" s="28" t="n"/>
      <c r="J346" s="269" t="n"/>
      <c r="K346" s="270" t="n"/>
    </row>
    <row r="347" ht="13" customHeight="1">
      <c r="B347" s="75" t="n"/>
      <c r="E347" s="75" t="n"/>
      <c r="G347" s="75" t="n"/>
      <c r="H347" s="28" t="n"/>
      <c r="J347" s="269" t="n"/>
      <c r="K347" s="270" t="n"/>
    </row>
    <row r="348" ht="13" customHeight="1">
      <c r="B348" s="75" t="n"/>
      <c r="E348" s="75" t="n"/>
      <c r="G348" s="75" t="n"/>
      <c r="H348" s="28" t="n"/>
      <c r="J348" s="269" t="n"/>
      <c r="K348" s="270" t="n"/>
    </row>
    <row r="349" ht="13" customHeight="1">
      <c r="B349" s="75" t="n"/>
      <c r="C349" s="218" t="n"/>
      <c r="E349" s="75" t="n"/>
      <c r="G349" s="75" t="n"/>
      <c r="H349" s="28" t="n"/>
      <c r="J349" s="269" t="n"/>
      <c r="K349" s="270" t="n"/>
    </row>
    <row r="350" ht="13" customHeight="1">
      <c r="B350" s="75" t="n"/>
      <c r="E350" s="75" t="n"/>
      <c r="G350" s="75" t="n"/>
      <c r="H350" s="28" t="n"/>
      <c r="J350" s="269" t="n"/>
      <c r="K350" s="270" t="n"/>
    </row>
    <row r="351" ht="13" customHeight="1">
      <c r="B351" s="75" t="n"/>
      <c r="C351" s="218" t="n"/>
      <c r="E351" s="75" t="n"/>
      <c r="G351" s="75" t="n"/>
      <c r="H351" s="28" t="n"/>
      <c r="J351" s="269" t="n"/>
      <c r="K351" s="270" t="n"/>
    </row>
    <row r="352" ht="13" customHeight="1">
      <c r="B352" s="75" t="n"/>
      <c r="E352" s="75" t="n"/>
      <c r="G352" s="75" t="n"/>
      <c r="H352" s="28" t="n"/>
      <c r="J352" s="269" t="n"/>
      <c r="K352" s="270" t="n"/>
    </row>
    <row r="353" ht="13" customHeight="1">
      <c r="B353" s="75" t="n"/>
      <c r="C353" s="218" t="n"/>
      <c r="E353" s="75" t="n"/>
      <c r="G353" s="75" t="n"/>
      <c r="H353" s="28" t="n"/>
      <c r="J353" s="269" t="n"/>
      <c r="K353" s="270" t="n"/>
    </row>
    <row r="354" ht="13" customHeight="1">
      <c r="B354" s="75" t="n"/>
      <c r="C354" s="218" t="n"/>
      <c r="E354" s="75" t="n"/>
      <c r="G354" s="75" t="n"/>
      <c r="H354" s="28" t="n"/>
      <c r="J354" s="269" t="n"/>
      <c r="K354" s="270" t="n"/>
    </row>
    <row r="355" ht="13" customHeight="1">
      <c r="B355" s="75" t="n"/>
      <c r="C355" s="218" t="n"/>
      <c r="E355" s="75" t="n"/>
      <c r="G355" s="75" t="n"/>
      <c r="H355" s="28" t="n"/>
      <c r="J355" s="269" t="n"/>
      <c r="K355" s="270" t="n"/>
    </row>
    <row r="356" ht="13" customHeight="1">
      <c r="B356" s="75" t="n"/>
      <c r="E356" s="75" t="n"/>
      <c r="G356" s="75" t="n"/>
      <c r="H356" s="28" t="n"/>
      <c r="J356" s="269" t="n"/>
      <c r="K356" s="270" t="n"/>
    </row>
    <row r="357" ht="13" customHeight="1">
      <c r="B357" s="75" t="n"/>
      <c r="C357" s="218" t="n"/>
      <c r="E357" s="75" t="n"/>
      <c r="G357" s="75" t="n"/>
      <c r="H357" s="28" t="n"/>
      <c r="J357" s="269" t="n"/>
      <c r="K357" s="270" t="n"/>
    </row>
    <row r="358" ht="13" customHeight="1">
      <c r="B358" s="75" t="n"/>
      <c r="C358" s="218" t="n"/>
      <c r="E358" s="75" t="n"/>
      <c r="G358" s="75" t="n"/>
      <c r="H358" s="28" t="n"/>
      <c r="J358" s="269" t="n"/>
      <c r="K358" s="270" t="n"/>
    </row>
    <row r="359" ht="13" customHeight="1">
      <c r="B359" s="75" t="n"/>
      <c r="C359" s="218" t="n"/>
      <c r="E359" s="75" t="n"/>
      <c r="G359" s="75" t="n"/>
      <c r="H359" s="28" t="n"/>
      <c r="J359" s="269" t="n"/>
      <c r="K359" s="270" t="n"/>
    </row>
    <row r="360" ht="13" customHeight="1">
      <c r="B360" s="75" t="n"/>
      <c r="E360" s="75" t="n"/>
      <c r="G360" s="75" t="n"/>
      <c r="H360" s="28" t="n"/>
      <c r="J360" s="269" t="n"/>
      <c r="K360" s="270" t="n"/>
    </row>
    <row r="361" ht="13" customHeight="1">
      <c r="B361" s="75" t="n"/>
      <c r="E361" s="75" t="n"/>
      <c r="G361" s="75" t="n"/>
      <c r="H361" s="28" t="n"/>
      <c r="J361" s="269" t="n"/>
      <c r="K361" s="270" t="n"/>
    </row>
    <row r="362" ht="13" customHeight="1">
      <c r="B362" s="75" t="n"/>
      <c r="C362" s="218" t="n"/>
      <c r="E362" s="75" t="n"/>
      <c r="G362" s="75" t="n"/>
      <c r="H362" s="28" t="n"/>
      <c r="J362" s="269" t="n"/>
      <c r="K362" s="270" t="n"/>
    </row>
    <row r="363" ht="13" customHeight="1">
      <c r="B363" s="75" t="n"/>
      <c r="C363" s="218" t="n"/>
      <c r="E363" s="75" t="n"/>
      <c r="G363" s="75" t="n"/>
      <c r="H363" s="28" t="n"/>
      <c r="J363" s="269" t="n"/>
      <c r="K363" s="270" t="n"/>
    </row>
    <row r="364" ht="13" customHeight="1">
      <c r="B364" s="75" t="n"/>
      <c r="E364" s="75" t="n"/>
      <c r="G364" s="75" t="n"/>
      <c r="H364" s="28" t="n"/>
      <c r="J364" s="269" t="n"/>
      <c r="K364" s="270" t="n"/>
    </row>
    <row r="365" ht="13" customHeight="1">
      <c r="B365" s="75" t="n"/>
      <c r="E365" s="75" t="n"/>
      <c r="G365" s="75" t="n"/>
      <c r="H365" s="28" t="n"/>
      <c r="J365" s="269" t="n"/>
      <c r="K365" s="270" t="n"/>
    </row>
    <row r="366" ht="13" customHeight="1">
      <c r="B366" s="75" t="n"/>
      <c r="E366" s="75" t="n"/>
      <c r="G366" s="75" t="n"/>
      <c r="H366" s="28" t="n"/>
      <c r="J366" s="269" t="n"/>
      <c r="K366" s="270" t="n"/>
    </row>
    <row r="367" ht="13" customHeight="1">
      <c r="B367" s="75" t="n"/>
      <c r="C367" s="218" t="n"/>
      <c r="E367" s="75" t="n"/>
      <c r="G367" s="75" t="n"/>
      <c r="H367" s="28" t="n"/>
      <c r="J367" s="269" t="n"/>
      <c r="K367" s="270" t="n"/>
    </row>
    <row r="368" ht="13" customHeight="1">
      <c r="B368" s="75" t="n"/>
      <c r="C368" s="218" t="n"/>
      <c r="E368" s="75" t="n"/>
      <c r="G368" s="75" t="n"/>
      <c r="H368" s="28" t="n"/>
      <c r="J368" s="269" t="n"/>
      <c r="K368" s="270" t="n"/>
    </row>
    <row r="369" ht="13" customHeight="1">
      <c r="B369" s="75" t="n"/>
      <c r="C369" s="218" t="n"/>
      <c r="E369" s="75" t="n"/>
      <c r="G369" s="75" t="n"/>
      <c r="H369" s="28" t="n"/>
      <c r="J369" s="269" t="n"/>
      <c r="K369" s="270" t="n"/>
    </row>
    <row r="370" ht="13" customHeight="1">
      <c r="B370" s="75" t="n"/>
      <c r="E370" s="75" t="n"/>
      <c r="G370" s="75" t="n"/>
      <c r="H370" s="28" t="n"/>
      <c r="J370" s="269" t="n"/>
      <c r="K370" s="270" t="n"/>
    </row>
    <row r="371" ht="13" customHeight="1">
      <c r="B371" s="75" t="n"/>
      <c r="E371" s="75" t="n"/>
      <c r="G371" s="75" t="n"/>
      <c r="H371" s="28" t="n"/>
      <c r="J371" s="269" t="n"/>
      <c r="K371" s="270" t="n"/>
    </row>
    <row r="372" ht="13" customHeight="1">
      <c r="B372" s="75" t="n"/>
      <c r="E372" s="75" t="n"/>
      <c r="G372" s="75" t="n"/>
      <c r="H372" s="28" t="n"/>
      <c r="J372" s="269" t="n"/>
      <c r="K372" s="270" t="n"/>
    </row>
    <row r="373" ht="13" customHeight="1">
      <c r="B373" s="75" t="n"/>
      <c r="E373" s="75" t="n"/>
      <c r="G373" s="75" t="n"/>
      <c r="H373" s="28" t="n"/>
      <c r="J373" s="269" t="n"/>
      <c r="K373" s="270" t="n"/>
    </row>
    <row r="374" ht="13" customHeight="1">
      <c r="B374" s="75" t="n"/>
      <c r="E374" s="75" t="n"/>
      <c r="G374" s="75" t="n"/>
      <c r="H374" s="28" t="n"/>
      <c r="J374" s="269" t="n"/>
      <c r="K374" s="270" t="n"/>
    </row>
    <row r="375" ht="13" customHeight="1">
      <c r="B375" s="75" t="n"/>
      <c r="E375" s="75" t="n"/>
      <c r="G375" s="75" t="n"/>
      <c r="H375" s="28" t="n"/>
      <c r="J375" s="269" t="n"/>
      <c r="K375" s="270" t="n"/>
    </row>
    <row r="376" ht="13" customHeight="1">
      <c r="B376" s="75" t="n"/>
      <c r="C376" s="218" t="n"/>
      <c r="E376" s="75" t="n"/>
      <c r="G376" s="75" t="n"/>
      <c r="H376" s="28" t="n"/>
      <c r="J376" s="269" t="n"/>
      <c r="K376" s="270" t="n"/>
    </row>
    <row r="377" ht="13" customHeight="1">
      <c r="B377" s="75" t="n"/>
      <c r="E377" s="75" t="n"/>
      <c r="G377" s="75" t="n"/>
      <c r="H377" s="28" t="n"/>
      <c r="J377" s="269" t="n"/>
      <c r="K377" s="270" t="n"/>
    </row>
    <row r="378" ht="13" customHeight="1">
      <c r="B378" s="75" t="n"/>
      <c r="E378" s="75" t="n"/>
      <c r="G378" s="75" t="n"/>
      <c r="H378" s="28" t="n"/>
      <c r="J378" s="269" t="n"/>
      <c r="K378" s="270" t="n"/>
    </row>
    <row r="379" ht="13" customHeight="1">
      <c r="B379" s="75" t="n"/>
      <c r="C379" s="218" t="n"/>
      <c r="E379" s="75" t="n"/>
      <c r="G379" s="75" t="n"/>
      <c r="H379" s="28" t="n"/>
      <c r="J379" s="269" t="n"/>
      <c r="K379" s="270" t="n"/>
    </row>
    <row r="380" ht="13" customHeight="1">
      <c r="B380" s="75" t="n"/>
      <c r="C380" s="218" t="n"/>
      <c r="E380" s="75" t="n"/>
      <c r="G380" s="75" t="n"/>
      <c r="H380" s="28" t="n"/>
      <c r="J380" s="269" t="n"/>
      <c r="K380" s="270" t="n"/>
    </row>
    <row r="381" ht="13" customHeight="1">
      <c r="B381" s="75" t="n"/>
      <c r="C381" s="218" t="n"/>
      <c r="E381" s="75" t="n"/>
      <c r="G381" s="75" t="n"/>
      <c r="H381" s="28" t="n"/>
      <c r="J381" s="269" t="n"/>
      <c r="K381" s="270" t="n"/>
    </row>
    <row r="382" ht="13" customHeight="1">
      <c r="B382" s="75" t="n"/>
      <c r="C382" s="218" t="n"/>
      <c r="E382" s="75" t="n"/>
      <c r="G382" s="75" t="n"/>
      <c r="H382" s="28" t="n"/>
      <c r="J382" s="269" t="n"/>
      <c r="K382" s="270" t="n"/>
    </row>
    <row r="383" ht="13" customHeight="1">
      <c r="B383" s="75" t="n"/>
      <c r="C383" s="218" t="n"/>
      <c r="E383" s="75" t="n"/>
      <c r="G383" s="75" t="n"/>
      <c r="H383" s="28" t="n"/>
      <c r="J383" s="269" t="n"/>
      <c r="K383" s="270" t="n"/>
    </row>
    <row r="384" ht="13" customHeight="1">
      <c r="B384" s="75" t="n"/>
      <c r="C384" s="218" t="n"/>
      <c r="E384" s="75" t="n"/>
      <c r="G384" s="75" t="n"/>
      <c r="H384" s="28" t="n"/>
      <c r="J384" s="269" t="n"/>
      <c r="K384" s="270" t="n"/>
    </row>
    <row r="385" ht="13" customHeight="1">
      <c r="B385" s="75" t="n"/>
      <c r="E385" s="75" t="n"/>
      <c r="G385" s="75" t="n"/>
      <c r="H385" s="28" t="n"/>
      <c r="J385" s="269" t="n"/>
      <c r="K385" s="270" t="n"/>
    </row>
    <row r="386" ht="13" customHeight="1">
      <c r="B386" s="75" t="n"/>
      <c r="E386" s="75" t="n"/>
      <c r="G386" s="75" t="n"/>
      <c r="H386" s="28" t="n"/>
      <c r="J386" s="269" t="n"/>
      <c r="K386" s="270" t="n"/>
    </row>
    <row r="387" ht="13" customHeight="1">
      <c r="B387" s="75" t="n"/>
      <c r="E387" s="75" t="n"/>
      <c r="G387" s="75" t="n"/>
      <c r="H387" s="28" t="n"/>
      <c r="J387" s="269" t="n"/>
      <c r="K387" s="270" t="n"/>
    </row>
    <row r="388" ht="13" customHeight="1">
      <c r="B388" s="75" t="n"/>
      <c r="C388" s="218" t="n"/>
      <c r="E388" s="75" t="n"/>
      <c r="G388" s="75" t="n"/>
      <c r="H388" s="28" t="n"/>
      <c r="J388" s="269" t="n"/>
      <c r="K388" s="270" t="n"/>
    </row>
    <row r="389" ht="13" customHeight="1">
      <c r="B389" s="75" t="n"/>
      <c r="C389" s="218" t="n"/>
      <c r="E389" s="75" t="n"/>
      <c r="G389" s="75" t="n"/>
      <c r="H389" s="28" t="n"/>
      <c r="J389" s="269" t="n"/>
      <c r="K389" s="270" t="n"/>
    </row>
    <row r="390" ht="13" customHeight="1">
      <c r="B390" s="75" t="n"/>
      <c r="E390" s="75" t="n"/>
      <c r="G390" s="75" t="n"/>
      <c r="H390" s="28" t="n"/>
      <c r="J390" s="269" t="n"/>
      <c r="K390" s="270" t="n"/>
    </row>
    <row r="391" ht="13" customHeight="1">
      <c r="B391" s="75" t="n"/>
      <c r="E391" s="75" t="n"/>
      <c r="G391" s="75" t="n"/>
      <c r="H391" s="28" t="n"/>
      <c r="J391" s="269" t="n"/>
      <c r="K391" s="270" t="n"/>
    </row>
    <row r="392" ht="13" customHeight="1">
      <c r="B392" s="75" t="n"/>
      <c r="C392" s="218" t="n"/>
      <c r="E392" s="75" t="n"/>
      <c r="G392" s="75" t="n"/>
      <c r="H392" s="28" t="n"/>
      <c r="J392" s="269" t="n"/>
      <c r="K392" s="270" t="n"/>
    </row>
    <row r="393" ht="13" customHeight="1">
      <c r="B393" s="75" t="n"/>
      <c r="C393" s="218" t="n"/>
      <c r="E393" s="75" t="n"/>
      <c r="G393" s="75" t="n"/>
      <c r="H393" s="28" t="n"/>
      <c r="J393" s="269" t="n"/>
      <c r="K393" s="270" t="n"/>
    </row>
    <row r="394" ht="13" customHeight="1">
      <c r="B394" s="75" t="n"/>
      <c r="C394" s="218" t="n"/>
      <c r="E394" s="75" t="n"/>
      <c r="G394" s="75" t="n"/>
      <c r="H394" s="28" t="n"/>
      <c r="J394" s="269" t="n"/>
      <c r="K394" s="270" t="n"/>
    </row>
    <row r="395" ht="13" customHeight="1">
      <c r="B395" s="75" t="n"/>
      <c r="C395" s="218" t="n"/>
      <c r="E395" s="75" t="n"/>
      <c r="G395" s="75" t="n"/>
      <c r="H395" s="28" t="n"/>
      <c r="J395" s="269" t="n"/>
      <c r="K395" s="270" t="n"/>
    </row>
    <row r="396" ht="13" customHeight="1">
      <c r="B396" s="75" t="n"/>
      <c r="C396" s="218" t="n"/>
      <c r="E396" s="75" t="n"/>
      <c r="G396" s="75" t="n"/>
      <c r="H396" s="28" t="n"/>
      <c r="J396" s="269" t="n"/>
      <c r="K396" s="270" t="n"/>
    </row>
    <row r="397" ht="13" customHeight="1">
      <c r="B397" s="75" t="n"/>
      <c r="E397" s="75" t="n"/>
      <c r="G397" s="75" t="n"/>
      <c r="H397" s="28" t="n"/>
      <c r="J397" s="269" t="n"/>
      <c r="K397" s="270" t="n"/>
    </row>
    <row r="398" ht="13" customHeight="1">
      <c r="B398" s="75" t="n"/>
      <c r="C398" s="218" t="n"/>
      <c r="E398" s="75" t="n"/>
      <c r="G398" s="75" t="n"/>
      <c r="H398" s="28" t="n"/>
      <c r="J398" s="269" t="n"/>
      <c r="K398" s="270" t="n"/>
    </row>
    <row r="399" ht="13" customHeight="1">
      <c r="B399" s="75" t="n"/>
      <c r="C399" s="218" t="n"/>
      <c r="E399" s="75" t="n"/>
      <c r="G399" s="75" t="n"/>
      <c r="H399" s="28" t="n"/>
      <c r="J399" s="269" t="n"/>
      <c r="K399" s="270" t="n"/>
    </row>
    <row r="400" ht="13" customHeight="1">
      <c r="B400" s="75" t="n"/>
      <c r="E400" s="75" t="n"/>
      <c r="G400" s="75" t="n"/>
      <c r="H400" s="28" t="n"/>
      <c r="J400" s="269" t="n"/>
      <c r="K400" s="270" t="n"/>
    </row>
    <row r="401" ht="13" customHeight="1">
      <c r="B401" s="75" t="n"/>
      <c r="C401" s="218" t="n"/>
      <c r="E401" s="75" t="n"/>
      <c r="G401" s="75" t="n"/>
      <c r="H401" s="28" t="n"/>
      <c r="J401" s="269" t="n"/>
      <c r="K401" s="270" t="n"/>
    </row>
    <row r="402" ht="13" customHeight="1">
      <c r="B402" s="75" t="n"/>
      <c r="C402" s="218" t="n"/>
      <c r="E402" s="75" t="n"/>
      <c r="G402" s="75" t="n"/>
      <c r="H402" s="28" t="n"/>
      <c r="J402" s="269" t="n"/>
      <c r="K402" s="270" t="n"/>
    </row>
    <row r="403" ht="13" customHeight="1">
      <c r="B403" s="75" t="n"/>
      <c r="C403" s="218" t="n"/>
      <c r="E403" s="75" t="n"/>
      <c r="G403" s="75" t="n"/>
      <c r="H403" s="28" t="n"/>
      <c r="J403" s="269" t="n"/>
      <c r="K403" s="270" t="n"/>
    </row>
    <row r="404" ht="13" customHeight="1">
      <c r="B404" s="75" t="n"/>
      <c r="C404" s="218" t="n"/>
      <c r="E404" s="75" t="n"/>
      <c r="G404" s="75" t="n"/>
      <c r="H404" s="28" t="n"/>
      <c r="J404" s="269" t="n"/>
      <c r="K404" s="270" t="n"/>
    </row>
    <row r="405" ht="13" customHeight="1">
      <c r="B405" s="75" t="n"/>
      <c r="E405" s="75" t="n"/>
      <c r="G405" s="75" t="n"/>
      <c r="H405" s="28" t="n"/>
      <c r="J405" s="269" t="n"/>
      <c r="K405" s="270" t="n"/>
    </row>
    <row r="406" ht="13" customHeight="1">
      <c r="B406" s="75" t="n"/>
      <c r="C406" s="218" t="n"/>
      <c r="E406" s="75" t="n"/>
      <c r="G406" s="75" t="n"/>
      <c r="H406" s="28" t="n"/>
      <c r="J406" s="269" t="n"/>
      <c r="K406" s="270" t="n"/>
    </row>
    <row r="407" ht="13" customHeight="1">
      <c r="B407" s="75" t="n"/>
      <c r="E407" s="75" t="n"/>
      <c r="G407" s="75" t="n"/>
      <c r="H407" s="28" t="n"/>
      <c r="J407" s="269" t="n"/>
      <c r="K407" s="270" t="n"/>
    </row>
    <row r="408" ht="13" customHeight="1">
      <c r="B408" s="75" t="n"/>
      <c r="C408" s="218" t="n"/>
      <c r="E408" s="75" t="n"/>
      <c r="G408" s="75" t="n"/>
      <c r="H408" s="28" t="n"/>
      <c r="J408" s="269" t="n"/>
      <c r="K408" s="270" t="n"/>
    </row>
    <row r="409" ht="13" customHeight="1">
      <c r="B409" s="75" t="n"/>
      <c r="C409" s="218" t="n"/>
      <c r="E409" s="75" t="n"/>
      <c r="G409" s="75" t="n"/>
      <c r="H409" s="28" t="n"/>
      <c r="J409" s="269" t="n"/>
      <c r="K409" s="270" t="n"/>
    </row>
    <row r="410" ht="13" customHeight="1">
      <c r="B410" s="75" t="n"/>
      <c r="E410" s="75" t="n"/>
      <c r="G410" s="75" t="n"/>
      <c r="H410" s="28" t="n"/>
      <c r="J410" s="269" t="n"/>
      <c r="K410" s="270" t="n"/>
    </row>
    <row r="411" ht="13" customHeight="1">
      <c r="B411" s="75" t="n"/>
      <c r="E411" s="75" t="n"/>
      <c r="G411" s="75" t="n"/>
      <c r="H411" s="28" t="n"/>
      <c r="J411" s="269" t="n"/>
      <c r="K411" s="270" t="n"/>
    </row>
    <row r="412" ht="13" customHeight="1">
      <c r="B412" s="75" t="n"/>
      <c r="E412" s="75" t="n"/>
      <c r="G412" s="75" t="n"/>
      <c r="H412" s="28" t="n"/>
      <c r="J412" s="269" t="n"/>
      <c r="K412" s="270" t="n"/>
    </row>
    <row r="413" ht="13" customHeight="1">
      <c r="B413" s="75" t="n"/>
      <c r="E413" s="75" t="n"/>
      <c r="G413" s="75" t="n"/>
      <c r="H413" s="28" t="n"/>
      <c r="J413" s="269" t="n"/>
      <c r="K413" s="270" t="n"/>
    </row>
    <row r="414" ht="13" customHeight="1">
      <c r="B414" s="75" t="n"/>
      <c r="C414" s="218" t="n"/>
      <c r="E414" s="75" t="n"/>
      <c r="G414" s="75" t="n"/>
      <c r="H414" s="28" t="n"/>
      <c r="J414" s="269" t="n"/>
      <c r="K414" s="270" t="n"/>
    </row>
    <row r="415" ht="13" customHeight="1">
      <c r="B415" s="75" t="n"/>
      <c r="C415" s="218" t="n"/>
      <c r="E415" s="75" t="n"/>
      <c r="G415" s="75" t="n"/>
      <c r="H415" s="28" t="n"/>
      <c r="J415" s="269" t="n"/>
      <c r="K415" s="270" t="n"/>
    </row>
    <row r="416" ht="13" customHeight="1">
      <c r="B416" s="75" t="n"/>
      <c r="E416" s="75" t="n"/>
      <c r="G416" s="75" t="n"/>
      <c r="H416" s="28" t="n"/>
      <c r="J416" s="269" t="n"/>
      <c r="K416" s="270" t="n"/>
    </row>
    <row r="417" ht="13" customHeight="1">
      <c r="B417" s="75" t="n"/>
      <c r="C417" s="218" t="n"/>
      <c r="E417" s="75" t="n"/>
      <c r="G417" s="75" t="n"/>
      <c r="H417" s="28" t="n"/>
      <c r="J417" s="269" t="n"/>
      <c r="K417" s="270" t="n"/>
    </row>
    <row r="418" ht="13" customHeight="1">
      <c r="B418" s="75" t="n"/>
      <c r="C418" s="218" t="n"/>
      <c r="E418" s="75" t="n"/>
      <c r="G418" s="75" t="n"/>
      <c r="H418" s="28" t="n"/>
      <c r="J418" s="269" t="n"/>
      <c r="K418" s="270" t="n"/>
    </row>
    <row r="419" ht="13" customHeight="1">
      <c r="B419" s="75" t="n"/>
      <c r="C419" s="218" t="n"/>
      <c r="E419" s="75" t="n"/>
      <c r="G419" s="75" t="n"/>
      <c r="H419" s="28" t="n"/>
      <c r="J419" s="269" t="n"/>
      <c r="K419" s="270" t="n"/>
    </row>
    <row r="420" ht="13" customHeight="1">
      <c r="B420" s="75" t="n"/>
      <c r="C420" s="218" t="n"/>
      <c r="E420" s="75" t="n"/>
      <c r="G420" s="75" t="n"/>
      <c r="H420" s="28" t="n"/>
      <c r="J420" s="269" t="n"/>
      <c r="K420" s="270" t="n"/>
    </row>
    <row r="421" ht="13" customHeight="1">
      <c r="B421" s="75" t="n"/>
      <c r="C421" s="218" t="n"/>
      <c r="E421" s="75" t="n"/>
      <c r="G421" s="75" t="n"/>
      <c r="H421" s="28" t="n"/>
      <c r="J421" s="269" t="n"/>
      <c r="K421" s="270" t="n"/>
    </row>
    <row r="422" ht="13" customHeight="1">
      <c r="B422" s="75" t="n"/>
      <c r="C422" s="218" t="n"/>
      <c r="E422" s="75" t="n"/>
      <c r="G422" s="75" t="n"/>
      <c r="H422" s="28" t="n"/>
      <c r="J422" s="269" t="n"/>
      <c r="K422" s="270" t="n"/>
    </row>
    <row r="423" ht="13" customHeight="1">
      <c r="B423" s="75" t="n"/>
      <c r="E423" s="75" t="n"/>
      <c r="G423" s="75" t="n"/>
      <c r="H423" s="28" t="n"/>
      <c r="J423" s="269" t="n"/>
      <c r="K423" s="270" t="n"/>
    </row>
    <row r="424" ht="13" customHeight="1">
      <c r="B424" s="75" t="n"/>
      <c r="C424" s="218" t="n"/>
      <c r="E424" s="75" t="n"/>
      <c r="G424" s="75" t="n"/>
      <c r="H424" s="28" t="n"/>
      <c r="J424" s="269" t="n"/>
      <c r="K424" s="270" t="n"/>
    </row>
    <row r="425" ht="13" customHeight="1">
      <c r="B425" s="75" t="n"/>
      <c r="C425" s="218" t="n"/>
      <c r="E425" s="75" t="n"/>
      <c r="G425" s="75" t="n"/>
      <c r="H425" s="28" t="n"/>
      <c r="J425" s="269" t="n"/>
      <c r="K425" s="270" t="n"/>
    </row>
    <row r="426" ht="13" customHeight="1">
      <c r="B426" s="75" t="n"/>
      <c r="C426" s="218" t="n"/>
      <c r="E426" s="75" t="n"/>
      <c r="G426" s="75" t="n"/>
      <c r="H426" s="28" t="n"/>
      <c r="J426" s="269" t="n"/>
      <c r="K426" s="270" t="n"/>
    </row>
    <row r="427" ht="13" customHeight="1">
      <c r="B427" s="75" t="n"/>
      <c r="E427" s="75" t="n"/>
      <c r="G427" s="75" t="n"/>
      <c r="H427" s="28" t="n"/>
      <c r="J427" s="269" t="n"/>
      <c r="K427" s="270" t="n"/>
    </row>
    <row r="428" ht="13" customHeight="1">
      <c r="B428" s="75" t="n"/>
      <c r="E428" s="75" t="n"/>
      <c r="G428" s="75" t="n"/>
      <c r="H428" s="28" t="n"/>
      <c r="J428" s="269" t="n"/>
      <c r="K428" s="270" t="n"/>
    </row>
    <row r="429" ht="13" customHeight="1">
      <c r="B429" s="75" t="n"/>
      <c r="C429" s="218" t="n"/>
      <c r="E429" s="75" t="n"/>
      <c r="G429" s="75" t="n"/>
      <c r="H429" s="28" t="n"/>
      <c r="J429" s="269" t="n"/>
      <c r="K429" s="270" t="n"/>
    </row>
    <row r="430" ht="13" customHeight="1">
      <c r="B430" s="75" t="n"/>
      <c r="E430" s="75" t="n"/>
      <c r="G430" s="75" t="n"/>
      <c r="H430" s="28" t="n"/>
      <c r="J430" s="269" t="n"/>
      <c r="K430" s="270" t="n"/>
    </row>
    <row r="431" ht="13" customHeight="1">
      <c r="B431" s="75" t="n"/>
      <c r="E431" s="75" t="n"/>
      <c r="G431" s="75" t="n"/>
      <c r="H431" s="28" t="n"/>
      <c r="J431" s="269" t="n"/>
      <c r="K431" s="270" t="n"/>
    </row>
    <row r="432" ht="13" customHeight="1">
      <c r="B432" s="75" t="n"/>
      <c r="E432" s="75" t="n"/>
      <c r="G432" s="75" t="n"/>
      <c r="H432" s="28" t="n"/>
      <c r="J432" s="269" t="n"/>
      <c r="K432" s="270" t="n"/>
    </row>
    <row r="433" ht="13" customHeight="1">
      <c r="B433" s="75" t="n"/>
      <c r="E433" s="75" t="n"/>
      <c r="G433" s="75" t="n"/>
      <c r="H433" s="28" t="n"/>
      <c r="J433" s="269" t="n"/>
      <c r="K433" s="270" t="n"/>
    </row>
    <row r="434" ht="13" customHeight="1">
      <c r="B434" s="75" t="n"/>
      <c r="C434" s="218" t="n"/>
      <c r="E434" s="75" t="n"/>
      <c r="G434" s="75" t="n"/>
      <c r="H434" s="28" t="n"/>
      <c r="J434" s="269" t="n"/>
      <c r="K434" s="270" t="n"/>
    </row>
    <row r="435" ht="13" customHeight="1">
      <c r="B435" s="142" t="n"/>
      <c r="C435" s="218" t="n"/>
      <c r="E435" s="75" t="n"/>
      <c r="G435" s="75" t="n"/>
      <c r="H435" s="28" t="n"/>
      <c r="J435" s="269" t="n"/>
      <c r="K435" s="270" t="n"/>
    </row>
    <row r="436" ht="13" customHeight="1">
      <c r="B436" s="142" t="n"/>
      <c r="E436" s="75" t="n"/>
      <c r="G436" s="75" t="n"/>
      <c r="H436" s="28" t="n"/>
      <c r="J436" s="269" t="n"/>
      <c r="K436" s="270" t="n"/>
    </row>
    <row r="437" ht="13" customHeight="1">
      <c r="B437" s="142" t="n"/>
      <c r="E437" s="75" t="n"/>
      <c r="G437" s="75" t="n"/>
      <c r="H437" s="28" t="n"/>
      <c r="J437" s="269" t="n"/>
      <c r="K437" s="270" t="n"/>
    </row>
    <row r="438" ht="13" customHeight="1">
      <c r="B438" s="142" t="n"/>
      <c r="E438" s="75" t="n"/>
      <c r="G438" s="75" t="n"/>
      <c r="H438" s="28" t="n"/>
      <c r="J438" s="269" t="n"/>
      <c r="K438" s="270" t="n"/>
    </row>
    <row r="439" ht="13" customHeight="1">
      <c r="B439" s="142" t="n"/>
      <c r="E439" s="75" t="n"/>
      <c r="G439" s="75" t="n"/>
      <c r="H439" s="28" t="n"/>
      <c r="J439" s="269" t="n"/>
      <c r="K439" s="270" t="n"/>
    </row>
    <row r="440" ht="13" customHeight="1">
      <c r="B440" s="142" t="n"/>
      <c r="E440" s="75" t="n"/>
      <c r="G440" s="75" t="n"/>
      <c r="H440" s="28" t="n"/>
      <c r="J440" s="269" t="n"/>
      <c r="K440" s="270" t="n"/>
    </row>
    <row r="441" ht="13" customHeight="1">
      <c r="B441" s="142" t="n"/>
      <c r="E441" s="75" t="n"/>
      <c r="G441" s="75" t="n"/>
      <c r="H441" s="28" t="n"/>
      <c r="J441" s="269" t="n"/>
      <c r="K441" s="270" t="n"/>
    </row>
    <row r="442" ht="13" customHeight="1">
      <c r="B442" s="75" t="n"/>
      <c r="E442" s="75" t="n"/>
      <c r="G442" s="75" t="n"/>
      <c r="H442" s="28" t="n"/>
      <c r="J442" s="269" t="n"/>
      <c r="K442" s="270" t="n"/>
    </row>
    <row r="443" ht="13" customHeight="1">
      <c r="B443" s="75" t="n"/>
      <c r="E443" s="75" t="n"/>
      <c r="G443" s="75" t="n"/>
      <c r="H443" s="28" t="n"/>
      <c r="J443" s="269" t="n"/>
      <c r="K443" s="270" t="n"/>
    </row>
    <row r="444" ht="13" customHeight="1">
      <c r="B444" s="75" t="n"/>
      <c r="E444" s="75" t="n"/>
      <c r="G444" s="75" t="n"/>
      <c r="H444" s="28" t="n"/>
      <c r="J444" s="269" t="n"/>
      <c r="K444" s="270" t="n"/>
    </row>
    <row r="445" ht="13" customHeight="1">
      <c r="B445" s="75" t="n"/>
      <c r="E445" s="75" t="n"/>
      <c r="G445" s="75" t="n"/>
      <c r="H445" s="28" t="n"/>
      <c r="J445" s="269" t="n"/>
      <c r="K445" s="270" t="n"/>
    </row>
    <row r="446" ht="13" customHeight="1">
      <c r="B446" s="75" t="n"/>
      <c r="E446" s="75" t="n"/>
      <c r="G446" s="75" t="n"/>
      <c r="H446" s="28" t="n"/>
      <c r="J446" s="269" t="n"/>
      <c r="K446" s="270" t="n"/>
    </row>
    <row r="447" ht="13" customHeight="1">
      <c r="B447" s="75" t="n"/>
      <c r="E447" s="75" t="n"/>
      <c r="G447" s="75" t="n"/>
      <c r="H447" s="28" t="n"/>
      <c r="J447" s="269" t="n"/>
      <c r="K447" s="270" t="n"/>
    </row>
    <row r="448" ht="13" customHeight="1">
      <c r="B448" s="75" t="n"/>
      <c r="C448" s="218" t="n"/>
      <c r="E448" s="75" t="n"/>
      <c r="G448" s="75" t="n"/>
      <c r="H448" s="28" t="n"/>
      <c r="J448" s="269" t="n"/>
      <c r="K448" s="270" t="n"/>
    </row>
    <row r="449" ht="13" customHeight="1">
      <c r="B449" s="75" t="n"/>
      <c r="C449" s="218" t="n"/>
      <c r="E449" s="75" t="n"/>
      <c r="G449" s="75" t="n"/>
      <c r="H449" s="28" t="n"/>
      <c r="J449" s="269" t="n"/>
      <c r="K449" s="270" t="n"/>
    </row>
    <row r="450" ht="13" customHeight="1">
      <c r="B450" s="75" t="n"/>
      <c r="C450" s="218" t="n"/>
      <c r="E450" s="75" t="n"/>
      <c r="G450" s="75" t="n"/>
      <c r="H450" s="28" t="n"/>
      <c r="J450" s="269" t="n"/>
      <c r="K450" s="270" t="n"/>
    </row>
    <row r="451" ht="13" customHeight="1">
      <c r="B451" s="75" t="n"/>
      <c r="C451" s="218" t="n"/>
      <c r="E451" s="75" t="n"/>
      <c r="G451" s="75" t="n"/>
      <c r="H451" s="28" t="n"/>
      <c r="J451" s="269" t="n"/>
      <c r="K451" s="270" t="n"/>
    </row>
    <row r="452" ht="13" customHeight="1">
      <c r="B452" s="75" t="n"/>
      <c r="C452" s="218" t="n"/>
      <c r="E452" s="75" t="n"/>
      <c r="G452" s="75" t="n"/>
      <c r="H452" s="28" t="n"/>
      <c r="J452" s="269" t="n"/>
      <c r="K452" s="270" t="n"/>
    </row>
    <row r="453" ht="13" customHeight="1">
      <c r="B453" s="75" t="n"/>
      <c r="C453" s="218" t="n"/>
      <c r="E453" s="75" t="n"/>
      <c r="G453" s="75" t="n"/>
      <c r="H453" s="28" t="n"/>
      <c r="J453" s="269" t="n"/>
      <c r="K453" s="270" t="n"/>
    </row>
    <row r="454" ht="13" customHeight="1">
      <c r="B454" s="75" t="n"/>
      <c r="E454" s="75" t="n"/>
      <c r="G454" s="75" t="n"/>
      <c r="H454" s="28" t="n"/>
      <c r="J454" s="269" t="n"/>
      <c r="K454" s="270" t="n"/>
    </row>
    <row r="455" ht="13" customHeight="1">
      <c r="B455" s="75" t="n"/>
      <c r="E455" s="75" t="n"/>
      <c r="G455" s="75" t="n"/>
      <c r="H455" s="28" t="n"/>
      <c r="J455" s="269" t="n"/>
      <c r="K455" s="270" t="n"/>
    </row>
    <row r="456" ht="13" customHeight="1">
      <c r="B456" s="75" t="n"/>
      <c r="C456" s="218" t="n"/>
      <c r="E456" s="75" t="n"/>
      <c r="G456" s="75" t="n"/>
      <c r="H456" s="28" t="n"/>
      <c r="J456" s="269" t="n"/>
      <c r="K456" s="270" t="n"/>
    </row>
    <row r="457" ht="13" customHeight="1">
      <c r="B457" s="75" t="n"/>
      <c r="C457" s="218" t="n"/>
      <c r="E457" s="75" t="n"/>
      <c r="G457" s="75" t="n"/>
      <c r="H457" s="28" t="n"/>
      <c r="J457" s="269" t="n"/>
      <c r="K457" s="270" t="n"/>
    </row>
    <row r="458" ht="13" customHeight="1">
      <c r="B458" s="75" t="n"/>
      <c r="C458" s="218" t="n"/>
      <c r="E458" s="75" t="n"/>
      <c r="G458" s="75" t="n"/>
      <c r="H458" s="28" t="n"/>
      <c r="J458" s="269" t="n"/>
      <c r="K458" s="270" t="n"/>
    </row>
    <row r="459" ht="13" customHeight="1">
      <c r="B459" s="75" t="n"/>
      <c r="C459" s="218" t="n"/>
      <c r="E459" s="75" t="n"/>
      <c r="G459" s="75" t="n"/>
      <c r="H459" s="28" t="n"/>
      <c r="J459" s="269" t="n"/>
      <c r="K459" s="270" t="n"/>
    </row>
    <row r="460" ht="13" customHeight="1">
      <c r="B460" s="75" t="n"/>
      <c r="C460" s="218" t="n"/>
      <c r="E460" s="75" t="n"/>
      <c r="G460" s="75" t="n"/>
      <c r="H460" s="28" t="n"/>
      <c r="J460" s="269" t="n"/>
      <c r="K460" s="270" t="n"/>
    </row>
    <row r="461" ht="13" customHeight="1">
      <c r="B461" s="75" t="n"/>
      <c r="C461" s="218" t="n"/>
      <c r="E461" s="75" t="n"/>
      <c r="G461" s="75" t="n"/>
      <c r="H461" s="28" t="n"/>
      <c r="J461" s="269" t="n"/>
      <c r="K461" s="270" t="n"/>
    </row>
    <row r="462" ht="13" customHeight="1">
      <c r="B462" s="75" t="n"/>
      <c r="C462" s="218" t="n"/>
      <c r="E462" s="75" t="n"/>
      <c r="G462" s="75" t="n"/>
      <c r="H462" s="28" t="n"/>
      <c r="J462" s="269" t="n"/>
      <c r="K462" s="270" t="n"/>
    </row>
    <row r="463" ht="13" customHeight="1">
      <c r="B463" s="75" t="n"/>
      <c r="E463" s="75" t="n"/>
      <c r="G463" s="75" t="n"/>
      <c r="H463" s="28" t="n"/>
      <c r="J463" s="269" t="n"/>
      <c r="K463" s="270" t="n"/>
    </row>
    <row r="464" ht="13" customHeight="1">
      <c r="B464" s="75" t="n"/>
      <c r="E464" s="75" t="n"/>
      <c r="G464" s="75" t="n"/>
      <c r="H464" s="28" t="n"/>
      <c r="J464" s="269" t="n"/>
      <c r="K464" s="270" t="n"/>
    </row>
    <row r="465" ht="13" customHeight="1">
      <c r="B465" s="75" t="n"/>
      <c r="C465" s="218" t="n"/>
      <c r="E465" s="75" t="n"/>
      <c r="G465" s="75" t="n"/>
      <c r="H465" s="28" t="n"/>
      <c r="J465" s="269" t="n"/>
      <c r="K465" s="270" t="n"/>
    </row>
    <row r="466" ht="13" customHeight="1">
      <c r="B466" s="75" t="n"/>
      <c r="E466" s="75" t="n"/>
      <c r="G466" s="75" t="n"/>
      <c r="H466" s="28" t="n"/>
      <c r="J466" s="269" t="n"/>
      <c r="K466" s="270" t="n"/>
    </row>
    <row r="467" ht="13" customHeight="1">
      <c r="B467" s="75" t="n"/>
      <c r="E467" s="75" t="n"/>
      <c r="G467" s="75" t="n"/>
      <c r="H467" s="28" t="n"/>
      <c r="J467" s="269" t="n"/>
      <c r="K467" s="270" t="n"/>
    </row>
    <row r="468" ht="13" customHeight="1">
      <c r="B468" s="75" t="n"/>
      <c r="C468" s="218" t="n"/>
      <c r="E468" s="75" t="n"/>
      <c r="G468" s="75" t="n"/>
      <c r="H468" s="28" t="n"/>
      <c r="J468" s="269" t="n"/>
      <c r="K468" s="270" t="n"/>
    </row>
    <row r="469" ht="13" customHeight="1">
      <c r="B469" s="75" t="n"/>
      <c r="C469" s="218" t="n"/>
      <c r="E469" s="75" t="n"/>
      <c r="G469" s="75" t="n"/>
      <c r="H469" s="28" t="n"/>
      <c r="J469" s="269" t="n"/>
      <c r="K469" s="270" t="n"/>
    </row>
    <row r="470" ht="13" customHeight="1">
      <c r="B470" s="75" t="n"/>
      <c r="C470" s="218" t="n"/>
      <c r="E470" s="75" t="n"/>
      <c r="G470" s="75" t="n"/>
      <c r="H470" s="28" t="n"/>
      <c r="J470" s="269" t="n"/>
      <c r="K470" s="270" t="n"/>
    </row>
    <row r="471" ht="13" customHeight="1">
      <c r="B471" s="75" t="n"/>
      <c r="C471" s="218" t="n"/>
      <c r="E471" s="75" t="n"/>
      <c r="G471" s="75" t="n"/>
      <c r="H471" s="28" t="n"/>
      <c r="J471" s="269" t="n"/>
      <c r="K471" s="270" t="n"/>
    </row>
    <row r="472" ht="13" customHeight="1">
      <c r="B472" s="75" t="n"/>
      <c r="C472" s="218" t="n"/>
      <c r="E472" s="75" t="n"/>
      <c r="G472" s="75" t="n"/>
      <c r="H472" s="28" t="n"/>
      <c r="J472" s="269" t="n"/>
      <c r="K472" s="270" t="n"/>
    </row>
    <row r="473" ht="13" customHeight="1">
      <c r="B473" s="75" t="n"/>
      <c r="C473" s="218" t="n"/>
      <c r="E473" s="75" t="n"/>
      <c r="G473" s="75" t="n"/>
      <c r="H473" s="28" t="n"/>
      <c r="J473" s="269" t="n"/>
      <c r="K473" s="270" t="n"/>
    </row>
    <row r="474" ht="13" customHeight="1">
      <c r="B474" s="75" t="n"/>
      <c r="C474" s="218" t="n"/>
      <c r="E474" s="75" t="n"/>
      <c r="G474" s="75" t="n"/>
      <c r="H474" s="28" t="n"/>
      <c r="J474" s="269" t="n"/>
      <c r="K474" s="270" t="n"/>
    </row>
    <row r="475" ht="13" customHeight="1">
      <c r="B475" s="75" t="n"/>
      <c r="C475" s="218" t="n"/>
      <c r="E475" s="75" t="n"/>
      <c r="G475" s="75" t="n"/>
      <c r="H475" s="28" t="n"/>
      <c r="J475" s="269" t="n"/>
      <c r="K475" s="270" t="n"/>
    </row>
    <row r="476" ht="13" customHeight="1">
      <c r="B476" s="75" t="n"/>
      <c r="E476" s="75" t="n"/>
      <c r="G476" s="75" t="n"/>
      <c r="H476" s="28" t="n"/>
      <c r="J476" s="269" t="n"/>
      <c r="K476" s="270" t="n"/>
    </row>
    <row r="477" ht="13" customHeight="1">
      <c r="B477" s="75" t="n"/>
      <c r="C477" s="218" t="n"/>
      <c r="E477" s="75" t="n"/>
      <c r="G477" s="75" t="n"/>
      <c r="H477" s="28" t="n"/>
      <c r="J477" s="269" t="n"/>
      <c r="K477" s="270" t="n"/>
    </row>
    <row r="478" ht="13" customHeight="1">
      <c r="B478" s="75" t="n"/>
      <c r="C478" s="218" t="n"/>
      <c r="E478" s="75" t="n"/>
      <c r="G478" s="75" t="n"/>
      <c r="H478" s="28" t="n"/>
      <c r="J478" s="269" t="n"/>
      <c r="K478" s="270" t="n"/>
    </row>
    <row r="479" ht="13" customHeight="1">
      <c r="B479" s="75" t="n"/>
      <c r="C479" s="218" t="n"/>
      <c r="E479" s="75" t="n"/>
      <c r="G479" s="75" t="n"/>
      <c r="H479" s="28" t="n"/>
      <c r="J479" s="269" t="n"/>
      <c r="K479" s="270" t="n"/>
    </row>
    <row r="480" ht="13" customHeight="1">
      <c r="B480" s="75" t="n"/>
      <c r="E480" s="75" t="n"/>
      <c r="G480" s="75" t="n"/>
      <c r="H480" s="28" t="n"/>
      <c r="J480" s="269" t="n"/>
      <c r="K480" s="270" t="n"/>
    </row>
    <row r="481" ht="13" customHeight="1">
      <c r="B481" s="75" t="n"/>
      <c r="E481" s="75" t="n"/>
      <c r="G481" s="75" t="n"/>
      <c r="H481" s="28" t="n"/>
      <c r="J481" s="269" t="n"/>
      <c r="K481" s="270" t="n"/>
    </row>
    <row r="482" ht="13" customHeight="1">
      <c r="B482" s="75" t="n"/>
      <c r="C482" s="218" t="n"/>
      <c r="E482" s="75" t="n"/>
      <c r="G482" s="75" t="n"/>
      <c r="H482" s="28" t="n"/>
      <c r="J482" s="269" t="n"/>
      <c r="K482" s="270" t="n"/>
    </row>
    <row r="483" ht="13" customHeight="1">
      <c r="B483" s="75" t="n"/>
      <c r="C483" s="218" t="n"/>
      <c r="E483" s="75" t="n"/>
      <c r="G483" s="75" t="n"/>
      <c r="H483" s="28" t="n"/>
      <c r="J483" s="269" t="n"/>
      <c r="K483" s="270" t="n"/>
    </row>
    <row r="484" ht="13" customHeight="1">
      <c r="B484" s="75" t="n"/>
      <c r="C484" s="218" t="n"/>
      <c r="E484" s="75" t="n"/>
      <c r="G484" s="75" t="n"/>
      <c r="H484" s="28" t="n"/>
      <c r="J484" s="269" t="n"/>
      <c r="K484" s="270" t="n"/>
    </row>
    <row r="485" ht="13" customHeight="1">
      <c r="B485" s="75" t="n"/>
      <c r="C485" s="218" t="n"/>
      <c r="E485" s="75" t="n"/>
      <c r="G485" s="75" t="n"/>
      <c r="H485" s="28" t="n"/>
      <c r="J485" s="269" t="n"/>
      <c r="K485" s="270" t="n"/>
    </row>
    <row r="486" ht="13" customHeight="1">
      <c r="B486" s="75" t="n"/>
      <c r="C486" s="218" t="n"/>
      <c r="E486" s="75" t="n"/>
      <c r="G486" s="75" t="n"/>
      <c r="H486" s="28" t="n"/>
      <c r="J486" s="269" t="n"/>
      <c r="K486" s="270" t="n"/>
    </row>
    <row r="487" ht="13" customHeight="1">
      <c r="B487" s="75" t="n"/>
      <c r="E487" s="75" t="n"/>
      <c r="G487" s="75" t="n"/>
      <c r="H487" s="28" t="n"/>
      <c r="J487" s="269" t="n"/>
      <c r="K487" s="270" t="n"/>
    </row>
    <row r="488" ht="13" customHeight="1">
      <c r="B488" s="75" t="n"/>
      <c r="E488" s="75" t="n"/>
      <c r="G488" s="75" t="n"/>
      <c r="H488" s="28" t="n"/>
      <c r="J488" s="269" t="n"/>
      <c r="K488" s="270" t="n"/>
    </row>
    <row r="489" ht="13" customHeight="1">
      <c r="B489" s="75" t="n"/>
      <c r="C489" s="218" t="n"/>
      <c r="E489" s="75" t="n"/>
      <c r="G489" s="75" t="n"/>
      <c r="H489" s="28" t="n"/>
      <c r="J489" s="269" t="n"/>
      <c r="K489" s="270" t="n"/>
    </row>
    <row r="490" ht="13" customHeight="1">
      <c r="B490" s="75" t="n"/>
      <c r="C490" s="218" t="n"/>
      <c r="E490" s="75" t="n"/>
      <c r="G490" s="75" t="n"/>
      <c r="H490" s="28" t="n"/>
      <c r="J490" s="269" t="n"/>
      <c r="K490" s="270" t="n"/>
    </row>
    <row r="491" ht="13" customHeight="1">
      <c r="B491" s="75" t="n"/>
      <c r="E491" s="75" t="n"/>
      <c r="G491" s="75" t="n"/>
      <c r="H491" s="28" t="n"/>
      <c r="J491" s="269" t="n"/>
      <c r="K491" s="270" t="n"/>
    </row>
    <row r="492" ht="13" customHeight="1">
      <c r="B492" s="75" t="n"/>
      <c r="E492" s="75" t="n"/>
      <c r="G492" s="75" t="n"/>
      <c r="H492" s="28" t="n"/>
      <c r="J492" s="269" t="n"/>
      <c r="K492" s="270" t="n"/>
    </row>
    <row r="493" ht="13" customHeight="1">
      <c r="B493" s="75" t="n"/>
      <c r="E493" s="75" t="n"/>
      <c r="G493" s="75" t="n"/>
      <c r="H493" s="28" t="n"/>
      <c r="J493" s="269" t="n"/>
      <c r="K493" s="270" t="n"/>
    </row>
    <row r="494" ht="13" customHeight="1">
      <c r="B494" s="75" t="n"/>
      <c r="C494" s="218" t="n"/>
      <c r="E494" s="75" t="n"/>
      <c r="G494" s="75" t="n"/>
      <c r="H494" s="28" t="n"/>
      <c r="J494" s="269" t="n"/>
      <c r="K494" s="270" t="n"/>
    </row>
    <row r="495" ht="13" customHeight="1">
      <c r="B495" s="75" t="n"/>
      <c r="C495" s="218" t="n"/>
      <c r="E495" s="75" t="n"/>
      <c r="G495" s="75" t="n"/>
      <c r="H495" s="28" t="n"/>
      <c r="J495" s="269" t="n"/>
      <c r="K495" s="270" t="n"/>
    </row>
    <row r="496" ht="13" customHeight="1">
      <c r="B496" s="75" t="n"/>
      <c r="C496" s="218" t="n"/>
      <c r="E496" s="75" t="n"/>
      <c r="G496" s="75" t="n"/>
      <c r="H496" s="28" t="n"/>
      <c r="J496" s="269" t="n"/>
      <c r="K496" s="270" t="n"/>
    </row>
    <row r="497" ht="13" customHeight="1">
      <c r="B497" s="75" t="n"/>
      <c r="C497" s="218" t="n"/>
      <c r="E497" s="75" t="n"/>
      <c r="G497" s="75" t="n"/>
      <c r="H497" s="28" t="n"/>
      <c r="J497" s="269" t="n"/>
      <c r="K497" s="270" t="n"/>
    </row>
    <row r="498" ht="13" customHeight="1">
      <c r="B498" s="75" t="n"/>
      <c r="E498" s="75" t="n"/>
      <c r="G498" s="75" t="n"/>
      <c r="H498" s="28" t="n"/>
      <c r="J498" s="269" t="n"/>
      <c r="K498" s="270" t="n"/>
    </row>
    <row r="499" ht="13" customHeight="1">
      <c r="B499" s="75" t="n"/>
      <c r="C499" s="218" t="n"/>
      <c r="E499" s="75" t="n"/>
      <c r="G499" s="75" t="n"/>
      <c r="H499" s="28" t="n"/>
      <c r="J499" s="269" t="n"/>
      <c r="K499" s="270" t="n"/>
    </row>
    <row r="500" ht="13" customHeight="1">
      <c r="B500" s="75" t="n"/>
      <c r="E500" s="75" t="n"/>
      <c r="G500" s="75" t="n"/>
      <c r="H500" s="28" t="n"/>
      <c r="J500" s="269" t="n"/>
      <c r="K500" s="270" t="n"/>
    </row>
    <row r="501" ht="13" customHeight="1">
      <c r="B501" s="75" t="n"/>
      <c r="E501" s="75" t="n"/>
      <c r="G501" s="75" t="n"/>
      <c r="H501" s="28" t="n"/>
      <c r="J501" s="269" t="n"/>
      <c r="K501" s="270" t="n"/>
    </row>
    <row r="502" ht="13" customHeight="1">
      <c r="B502" s="75" t="n"/>
      <c r="E502" s="75" t="n"/>
      <c r="G502" s="75" t="n"/>
      <c r="H502" s="28" t="n"/>
      <c r="J502" s="269" t="n"/>
      <c r="K502" s="270" t="n"/>
    </row>
    <row r="503" ht="13" customHeight="1">
      <c r="B503" s="75" t="n"/>
      <c r="E503" s="75" t="n"/>
      <c r="G503" s="75" t="n"/>
      <c r="H503" s="28" t="n"/>
      <c r="J503" s="269" t="n"/>
      <c r="K503" s="270" t="n"/>
    </row>
    <row r="504" ht="13" customHeight="1">
      <c r="B504" s="75" t="n"/>
      <c r="C504" s="218" t="n"/>
      <c r="E504" s="75" t="n"/>
      <c r="G504" s="75" t="n"/>
      <c r="H504" s="28" t="n"/>
      <c r="J504" s="269" t="n"/>
      <c r="K504" s="270" t="n"/>
    </row>
    <row r="505" ht="13" customHeight="1">
      <c r="B505" s="75" t="n"/>
      <c r="E505" s="75" t="n"/>
      <c r="G505" s="75" t="n"/>
      <c r="H505" s="28" t="n"/>
      <c r="J505" s="269" t="n"/>
      <c r="K505" s="270" t="n"/>
    </row>
    <row r="506" ht="13" customHeight="1">
      <c r="B506" s="75" t="n"/>
      <c r="E506" s="75" t="n"/>
      <c r="G506" s="75" t="n"/>
      <c r="H506" s="28" t="n"/>
      <c r="J506" s="269" t="n"/>
      <c r="K506" s="270" t="n"/>
    </row>
    <row r="507" ht="13" customHeight="1">
      <c r="B507" s="75" t="n"/>
      <c r="C507" s="218" t="n"/>
      <c r="E507" s="75" t="n"/>
      <c r="G507" s="75" t="n"/>
      <c r="H507" s="28" t="n"/>
      <c r="J507" s="269" t="n"/>
      <c r="K507" s="270" t="n"/>
    </row>
    <row r="508" ht="13" customHeight="1">
      <c r="B508" s="75" t="n"/>
      <c r="C508" s="218" t="n"/>
      <c r="E508" s="75" t="n"/>
      <c r="G508" s="75" t="n"/>
      <c r="H508" s="28" t="n"/>
      <c r="J508" s="269" t="n"/>
      <c r="K508" s="270" t="n"/>
    </row>
    <row r="509" ht="13" customHeight="1">
      <c r="B509" s="75" t="n"/>
      <c r="C509" s="218" t="n"/>
      <c r="E509" s="75" t="n"/>
      <c r="G509" s="75" t="n"/>
      <c r="H509" s="28" t="n"/>
      <c r="J509" s="269" t="n"/>
      <c r="K509" s="270" t="n"/>
    </row>
    <row r="510" ht="13" customHeight="1">
      <c r="B510" s="75" t="n"/>
      <c r="C510" s="218" t="n"/>
      <c r="E510" s="75" t="n"/>
      <c r="G510" s="75" t="n"/>
      <c r="H510" s="28" t="n"/>
      <c r="J510" s="269" t="n"/>
      <c r="K510" s="270" t="n"/>
    </row>
    <row r="511" ht="13" customHeight="1">
      <c r="B511" s="75" t="n"/>
      <c r="C511" s="218" t="n"/>
      <c r="E511" s="75" t="n"/>
      <c r="G511" s="75" t="n"/>
      <c r="H511" s="28" t="n"/>
      <c r="J511" s="269" t="n"/>
      <c r="K511" s="270" t="n"/>
    </row>
    <row r="512" ht="13" customHeight="1">
      <c r="B512" s="75" t="n"/>
      <c r="E512" s="75" t="n"/>
      <c r="G512" s="75" t="n"/>
      <c r="H512" s="28" t="n"/>
      <c r="J512" s="269" t="n"/>
      <c r="K512" s="270" t="n"/>
    </row>
    <row r="513" ht="13" customHeight="1">
      <c r="B513" s="75" t="n"/>
      <c r="E513" s="75" t="n"/>
      <c r="G513" s="75" t="n"/>
      <c r="H513" s="28" t="n"/>
      <c r="J513" s="269" t="n"/>
      <c r="K513" s="270" t="n"/>
    </row>
    <row r="514" ht="13" customHeight="1">
      <c r="B514" s="75" t="n"/>
      <c r="E514" s="75" t="n"/>
      <c r="G514" s="75" t="n"/>
      <c r="H514" s="28" t="n"/>
      <c r="J514" s="269" t="n"/>
      <c r="K514" s="270" t="n"/>
    </row>
    <row r="515" ht="13" customHeight="1">
      <c r="B515" s="75" t="n"/>
      <c r="E515" s="75" t="n"/>
      <c r="G515" s="75" t="n"/>
      <c r="H515" s="28" t="n"/>
      <c r="J515" s="269" t="n"/>
      <c r="K515" s="270" t="n"/>
    </row>
    <row r="516" ht="13" customHeight="1">
      <c r="B516" s="75" t="n"/>
      <c r="E516" s="75" t="n"/>
      <c r="G516" s="75" t="n"/>
      <c r="H516" s="28" t="n"/>
      <c r="J516" s="269" t="n"/>
      <c r="K516" s="270" t="n"/>
    </row>
    <row r="517" ht="13" customHeight="1">
      <c r="B517" s="75" t="n"/>
      <c r="E517" s="75" t="n"/>
      <c r="G517" s="75" t="n"/>
      <c r="H517" s="28" t="n"/>
      <c r="J517" s="269" t="n"/>
      <c r="K517" s="270" t="n"/>
    </row>
    <row r="518" ht="13" customHeight="1">
      <c r="B518" s="75" t="n"/>
      <c r="E518" s="75" t="n"/>
      <c r="G518" s="75" t="n"/>
      <c r="H518" s="28" t="n"/>
      <c r="J518" s="269" t="n"/>
      <c r="K518" s="270" t="n"/>
    </row>
    <row r="519" ht="13" customHeight="1">
      <c r="B519" s="75" t="n"/>
      <c r="E519" s="75" t="n"/>
      <c r="G519" s="75" t="n"/>
      <c r="H519" s="28" t="n"/>
      <c r="J519" s="269" t="n"/>
      <c r="K519" s="270" t="n"/>
    </row>
    <row r="520" ht="13" customHeight="1">
      <c r="B520" s="75" t="n"/>
      <c r="E520" s="75" t="n"/>
      <c r="G520" s="75" t="n"/>
      <c r="H520" s="28" t="n"/>
      <c r="J520" s="269" t="n"/>
      <c r="K520" s="270" t="n"/>
    </row>
    <row r="521" ht="13" customHeight="1">
      <c r="B521" s="75" t="n"/>
      <c r="E521" s="75" t="n"/>
      <c r="G521" s="75" t="n"/>
      <c r="H521" s="28" t="n"/>
      <c r="J521" s="269" t="n"/>
      <c r="K521" s="270" t="n"/>
    </row>
    <row r="522" ht="13" customHeight="1">
      <c r="B522" s="75" t="n"/>
      <c r="E522" s="75" t="n"/>
      <c r="G522" s="75" t="n"/>
      <c r="H522" s="28" t="n"/>
      <c r="J522" s="269" t="n"/>
      <c r="K522" s="270" t="n"/>
    </row>
    <row r="523" ht="13" customHeight="1">
      <c r="B523" s="75" t="n"/>
      <c r="E523" s="75" t="n"/>
      <c r="G523" s="75" t="n"/>
      <c r="H523" s="28" t="n"/>
      <c r="J523" s="269" t="n"/>
      <c r="K523" s="270" t="n"/>
    </row>
    <row r="524" ht="13" customHeight="1">
      <c r="B524" s="75" t="n"/>
      <c r="E524" s="75" t="n"/>
      <c r="G524" s="75" t="n"/>
      <c r="H524" s="28" t="n"/>
      <c r="J524" s="269" t="n"/>
      <c r="K524" s="270" t="n"/>
    </row>
    <row r="525" ht="13" customHeight="1">
      <c r="B525" s="75" t="n"/>
      <c r="E525" s="75" t="n"/>
      <c r="G525" s="75" t="n"/>
      <c r="H525" s="28" t="n"/>
      <c r="J525" s="269" t="n"/>
      <c r="K525" s="270" t="n"/>
    </row>
    <row r="526" ht="13" customHeight="1">
      <c r="B526" s="75" t="n"/>
      <c r="C526" s="218" t="n"/>
      <c r="E526" s="75" t="n"/>
      <c r="G526" s="75" t="n"/>
      <c r="H526" s="28" t="n"/>
      <c r="J526" s="269" t="n"/>
      <c r="K526" s="270" t="n"/>
    </row>
    <row r="527" ht="13" customHeight="1">
      <c r="B527" s="75" t="n"/>
      <c r="C527" s="218" t="n"/>
      <c r="E527" s="75" t="n"/>
      <c r="G527" s="75" t="n"/>
      <c r="H527" s="28" t="n"/>
      <c r="J527" s="269" t="n"/>
      <c r="K527" s="270" t="n"/>
    </row>
    <row r="528" ht="13" customHeight="1">
      <c r="B528" s="75" t="n"/>
      <c r="C528" s="218" t="n"/>
      <c r="E528" s="75" t="n"/>
      <c r="G528" s="75" t="n"/>
      <c r="H528" s="28" t="n"/>
      <c r="J528" s="269" t="n"/>
      <c r="K528" s="270" t="n"/>
    </row>
    <row r="529" ht="13" customHeight="1">
      <c r="B529" s="75" t="n"/>
      <c r="E529" s="75" t="n"/>
      <c r="G529" s="75" t="n"/>
      <c r="H529" s="28" t="n"/>
      <c r="J529" s="269" t="n"/>
      <c r="K529" s="270" t="n"/>
    </row>
    <row r="530" ht="13" customHeight="1">
      <c r="B530" s="75" t="n"/>
      <c r="C530" s="218" t="n"/>
      <c r="E530" s="75" t="n"/>
      <c r="G530" s="75" t="n"/>
      <c r="H530" s="28" t="n"/>
      <c r="J530" s="269" t="n"/>
      <c r="K530" s="270" t="n"/>
    </row>
    <row r="531" ht="13" customHeight="1">
      <c r="B531" s="75" t="n"/>
      <c r="C531" s="218" t="n"/>
      <c r="E531" s="75" t="n"/>
      <c r="G531" s="75" t="n"/>
      <c r="H531" s="28" t="n"/>
      <c r="J531" s="269" t="n"/>
      <c r="K531" s="270" t="n"/>
    </row>
    <row r="532" ht="13" customHeight="1">
      <c r="B532" s="75" t="n"/>
      <c r="E532" s="75" t="n"/>
      <c r="G532" s="75" t="n"/>
      <c r="H532" s="28" t="n"/>
      <c r="J532" s="269" t="n"/>
      <c r="K532" s="270" t="n"/>
    </row>
    <row r="533" ht="13" customHeight="1">
      <c r="B533" s="75" t="n"/>
      <c r="C533" s="218" t="n"/>
      <c r="E533" s="75" t="n"/>
      <c r="G533" s="75" t="n"/>
      <c r="H533" s="28" t="n"/>
      <c r="J533" s="269" t="n"/>
      <c r="K533" s="270" t="n"/>
    </row>
    <row r="534" ht="13" customHeight="1">
      <c r="B534" s="75" t="n"/>
      <c r="E534" s="75" t="n"/>
      <c r="G534" s="75" t="n"/>
      <c r="H534" s="28" t="n"/>
      <c r="J534" s="269" t="n"/>
      <c r="K534" s="270" t="n"/>
    </row>
    <row r="535" ht="13" customHeight="1">
      <c r="B535" s="75" t="n"/>
      <c r="C535" s="218" t="n"/>
      <c r="E535" s="75" t="n"/>
      <c r="G535" s="75" t="n"/>
      <c r="H535" s="28" t="n"/>
      <c r="J535" s="269" t="n"/>
      <c r="K535" s="270" t="n"/>
    </row>
    <row r="536" ht="13" customHeight="1">
      <c r="B536" s="75" t="n"/>
      <c r="C536" s="218" t="n"/>
      <c r="E536" s="75" t="n"/>
      <c r="G536" s="75" t="n"/>
      <c r="H536" s="28" t="n"/>
      <c r="J536" s="269" t="n"/>
      <c r="K536" s="270" t="n"/>
    </row>
    <row r="537" ht="13" customHeight="1">
      <c r="B537" s="75" t="n"/>
      <c r="C537" s="218" t="n"/>
      <c r="E537" s="75" t="n"/>
      <c r="G537" s="75" t="n"/>
      <c r="H537" s="28" t="n"/>
      <c r="J537" s="269" t="n"/>
      <c r="K537" s="270" t="n"/>
    </row>
    <row r="538" ht="13" customHeight="1">
      <c r="B538" s="75" t="n"/>
      <c r="C538" s="218" t="n"/>
      <c r="E538" s="75" t="n"/>
      <c r="G538" s="75" t="n"/>
      <c r="H538" s="28" t="n"/>
      <c r="J538" s="269" t="n"/>
      <c r="K538" s="270" t="n"/>
    </row>
    <row r="539" ht="13" customHeight="1">
      <c r="B539" s="75" t="n"/>
      <c r="C539" s="218" t="n"/>
      <c r="E539" s="75" t="n"/>
      <c r="G539" s="75" t="n"/>
      <c r="H539" s="28" t="n"/>
      <c r="J539" s="269" t="n"/>
      <c r="K539" s="270" t="n"/>
    </row>
    <row r="540" ht="13" customHeight="1">
      <c r="B540" s="75" t="n"/>
      <c r="C540" s="218" t="n"/>
      <c r="E540" s="75" t="n"/>
      <c r="G540" s="75" t="n"/>
      <c r="H540" s="28" t="n"/>
      <c r="J540" s="269" t="n"/>
      <c r="K540" s="270" t="n"/>
    </row>
    <row r="541" ht="13" customHeight="1">
      <c r="B541" s="75" t="n"/>
      <c r="C541" s="218" t="n"/>
      <c r="E541" s="75" t="n"/>
      <c r="G541" s="75" t="n"/>
      <c r="H541" s="28" t="n"/>
      <c r="J541" s="269" t="n"/>
      <c r="K541" s="270" t="n"/>
    </row>
    <row r="542" ht="13" customHeight="1">
      <c r="B542" s="75" t="n"/>
      <c r="E542" s="75" t="n"/>
      <c r="G542" s="75" t="n"/>
      <c r="H542" s="28" t="n"/>
      <c r="J542" s="269" t="n"/>
      <c r="K542" s="270" t="n"/>
    </row>
    <row r="543" ht="13" customHeight="1">
      <c r="B543" s="75" t="n"/>
      <c r="C543" s="218" t="n"/>
      <c r="E543" s="75" t="n"/>
      <c r="G543" s="75" t="n"/>
      <c r="H543" s="28" t="n"/>
      <c r="J543" s="269" t="n"/>
      <c r="K543" s="270" t="n"/>
    </row>
    <row r="544" ht="13" customHeight="1">
      <c r="B544" s="75" t="n"/>
      <c r="C544" s="218" t="n"/>
      <c r="E544" s="75" t="n"/>
      <c r="G544" s="75" t="n"/>
      <c r="H544" s="28" t="n"/>
      <c r="J544" s="269" t="n"/>
      <c r="K544" s="270" t="n"/>
    </row>
    <row r="545" ht="13" customHeight="1">
      <c r="B545" s="75" t="n"/>
      <c r="C545" s="218" t="n"/>
      <c r="E545" s="75" t="n"/>
      <c r="G545" s="75" t="n"/>
      <c r="H545" s="28" t="n"/>
      <c r="J545" s="269" t="n"/>
      <c r="K545" s="270" t="n"/>
    </row>
    <row r="546" ht="13" customHeight="1">
      <c r="B546" s="75" t="n"/>
      <c r="C546" s="218" t="n"/>
      <c r="E546" s="75" t="n"/>
      <c r="G546" s="75" t="n"/>
      <c r="H546" s="28" t="n"/>
      <c r="J546" s="269" t="n"/>
      <c r="K546" s="270" t="n"/>
    </row>
    <row r="547" ht="13" customHeight="1">
      <c r="B547" s="75" t="n"/>
      <c r="C547" s="218" t="n"/>
      <c r="E547" s="75" t="n"/>
      <c r="G547" s="75" t="n"/>
      <c r="H547" s="28" t="n"/>
      <c r="J547" s="269" t="n"/>
      <c r="K547" s="270" t="n"/>
    </row>
    <row r="548" ht="13" customHeight="1">
      <c r="B548" s="75" t="n"/>
      <c r="C548" s="218" t="n"/>
      <c r="E548" s="75" t="n"/>
      <c r="G548" s="75" t="n"/>
      <c r="H548" s="28" t="n"/>
      <c r="J548" s="269" t="n"/>
      <c r="K548" s="270" t="n"/>
    </row>
    <row r="549" ht="13" customHeight="1">
      <c r="B549" s="75" t="n"/>
      <c r="C549" s="218" t="n"/>
      <c r="E549" s="75" t="n"/>
      <c r="G549" s="75" t="n"/>
      <c r="H549" s="28" t="n"/>
      <c r="J549" s="269" t="n"/>
      <c r="K549" s="270" t="n"/>
    </row>
    <row r="550" ht="13" customHeight="1">
      <c r="B550" s="75" t="n"/>
      <c r="C550" s="218" t="n"/>
      <c r="E550" s="75" t="n"/>
      <c r="G550" s="75" t="n"/>
      <c r="H550" s="28" t="n"/>
      <c r="J550" s="269" t="n"/>
      <c r="K550" s="270" t="n"/>
    </row>
    <row r="551" ht="13" customHeight="1">
      <c r="B551" s="75" t="n"/>
      <c r="C551" s="218" t="n"/>
      <c r="E551" s="75" t="n"/>
      <c r="G551" s="75" t="n"/>
      <c r="H551" s="28" t="n"/>
      <c r="J551" s="269" t="n"/>
      <c r="K551" s="270" t="n"/>
    </row>
    <row r="552" ht="13" customHeight="1">
      <c r="B552" s="75" t="n"/>
      <c r="C552" s="218" t="n"/>
      <c r="E552" s="75" t="n"/>
      <c r="G552" s="75" t="n"/>
      <c r="H552" s="28" t="n"/>
      <c r="J552" s="269" t="n"/>
      <c r="K552" s="270" t="n"/>
    </row>
    <row r="553" ht="13" customHeight="1">
      <c r="B553" s="75" t="n"/>
      <c r="C553" s="218" t="n"/>
      <c r="E553" s="75" t="n"/>
      <c r="G553" s="75" t="n"/>
      <c r="H553" s="28" t="n"/>
      <c r="J553" s="269" t="n"/>
      <c r="K553" s="270" t="n"/>
    </row>
    <row r="554" ht="13" customHeight="1">
      <c r="B554" s="75" t="n"/>
      <c r="C554" s="218" t="n"/>
      <c r="E554" s="75" t="n"/>
      <c r="G554" s="75" t="n"/>
      <c r="H554" s="28" t="n"/>
      <c r="J554" s="269" t="n"/>
      <c r="K554" s="270" t="n"/>
    </row>
    <row r="555" ht="13" customHeight="1">
      <c r="B555" s="75" t="n"/>
      <c r="C555" s="218" t="n"/>
      <c r="E555" s="75" t="n"/>
      <c r="G555" s="75" t="n"/>
      <c r="H555" s="28" t="n"/>
      <c r="J555" s="269" t="n"/>
      <c r="K555" s="270" t="n"/>
    </row>
    <row r="556" ht="13" customHeight="1">
      <c r="B556" s="75" t="n"/>
      <c r="C556" s="218" t="n"/>
      <c r="E556" s="75" t="n"/>
      <c r="G556" s="75" t="n"/>
      <c r="H556" s="28" t="n"/>
      <c r="J556" s="269" t="n"/>
      <c r="K556" s="270" t="n"/>
    </row>
    <row r="557" ht="13" customHeight="1">
      <c r="B557" s="75" t="n"/>
      <c r="C557" s="218" t="n"/>
      <c r="E557" s="75" t="n"/>
      <c r="G557" s="75" t="n"/>
      <c r="H557" s="28" t="n"/>
      <c r="J557" s="269" t="n"/>
      <c r="K557" s="270" t="n"/>
    </row>
    <row r="558" ht="13" customHeight="1">
      <c r="B558" s="75" t="n"/>
      <c r="C558" s="218" t="n"/>
      <c r="E558" s="75" t="n"/>
      <c r="G558" s="75" t="n"/>
      <c r="H558" s="28" t="n"/>
      <c r="J558" s="269" t="n"/>
      <c r="K558" s="270" t="n"/>
    </row>
    <row r="559" ht="13" customHeight="1">
      <c r="B559" s="75" t="n"/>
      <c r="C559" s="218" t="n"/>
      <c r="E559" s="75" t="n"/>
      <c r="G559" s="75" t="n"/>
      <c r="H559" s="28" t="n"/>
      <c r="J559" s="269" t="n"/>
      <c r="K559" s="270" t="n"/>
    </row>
    <row r="560" ht="13" customHeight="1">
      <c r="B560" s="75" t="n"/>
      <c r="C560" s="218" t="n"/>
      <c r="E560" s="75" t="n"/>
      <c r="G560" s="75" t="n"/>
      <c r="H560" s="28" t="n"/>
      <c r="J560" s="269" t="n"/>
      <c r="K560" s="270" t="n"/>
    </row>
    <row r="561" ht="13" customHeight="1">
      <c r="B561" s="75" t="n"/>
      <c r="C561" s="218" t="n"/>
      <c r="E561" s="75" t="n"/>
      <c r="G561" s="75" t="n"/>
      <c r="H561" s="28" t="n"/>
      <c r="J561" s="269" t="n"/>
      <c r="K561" s="270" t="n"/>
    </row>
    <row r="562" ht="13" customHeight="1">
      <c r="B562" s="75" t="n"/>
      <c r="C562" s="218" t="n"/>
      <c r="E562" s="75" t="n"/>
      <c r="G562" s="75" t="n"/>
      <c r="H562" s="28" t="n"/>
      <c r="J562" s="269" t="n"/>
      <c r="K562" s="270" t="n"/>
    </row>
    <row r="563" ht="13" customHeight="1">
      <c r="B563" s="75" t="n"/>
      <c r="C563" s="218" t="n"/>
      <c r="E563" s="75" t="n"/>
      <c r="G563" s="75" t="n"/>
      <c r="H563" s="28" t="n"/>
      <c r="J563" s="269" t="n"/>
      <c r="K563" s="270" t="n"/>
    </row>
    <row r="564" ht="13" customHeight="1">
      <c r="B564" s="75" t="n"/>
      <c r="C564" s="218" t="n"/>
      <c r="E564" s="75" t="n"/>
      <c r="G564" s="75" t="n"/>
      <c r="H564" s="28" t="n"/>
      <c r="J564" s="269" t="n"/>
      <c r="K564" s="270" t="n"/>
    </row>
    <row r="565" ht="13" customHeight="1">
      <c r="B565" s="75" t="n"/>
      <c r="C565" s="218" t="n"/>
      <c r="E565" s="75" t="n"/>
      <c r="G565" s="75" t="n"/>
      <c r="H565" s="28" t="n"/>
      <c r="J565" s="269" t="n"/>
      <c r="K565" s="270" t="n"/>
    </row>
    <row r="566" ht="13" customHeight="1">
      <c r="B566" s="75" t="n"/>
      <c r="E566" s="75" t="n"/>
      <c r="G566" s="75" t="n"/>
      <c r="H566" s="28" t="n"/>
      <c r="J566" s="269" t="n"/>
      <c r="K566" s="270" t="n"/>
    </row>
    <row r="567" ht="13" customHeight="1">
      <c r="B567" s="75" t="n"/>
      <c r="E567" s="75" t="n"/>
      <c r="G567" s="75" t="n"/>
      <c r="H567" s="28" t="n"/>
      <c r="J567" s="269" t="n"/>
      <c r="K567" s="270" t="n"/>
    </row>
    <row r="568" ht="13" customHeight="1">
      <c r="B568" s="75" t="n"/>
      <c r="E568" s="75" t="n"/>
      <c r="G568" s="75" t="n"/>
      <c r="H568" s="28" t="n"/>
      <c r="J568" s="269" t="n"/>
      <c r="K568" s="270" t="n"/>
    </row>
    <row r="569" ht="13" customHeight="1">
      <c r="B569" s="75" t="n"/>
      <c r="E569" s="75" t="n"/>
      <c r="G569" s="75" t="n"/>
      <c r="H569" s="28" t="n"/>
      <c r="J569" s="269" t="n"/>
      <c r="K569" s="270" t="n"/>
    </row>
    <row r="570" ht="13" customHeight="1">
      <c r="B570" s="75" t="n"/>
      <c r="E570" s="75" t="n"/>
      <c r="G570" s="75" t="n"/>
      <c r="H570" s="28" t="n"/>
      <c r="J570" s="269" t="n"/>
      <c r="K570" s="270" t="n"/>
    </row>
    <row r="571" ht="13" customHeight="1">
      <c r="B571" s="75" t="n"/>
      <c r="E571" s="75" t="n"/>
      <c r="G571" s="75" t="n"/>
      <c r="H571" s="28" t="n"/>
      <c r="J571" s="269" t="n"/>
      <c r="K571" s="270" t="n"/>
    </row>
    <row r="572" ht="13" customHeight="1">
      <c r="B572" s="75" t="n"/>
      <c r="E572" s="75" t="n"/>
      <c r="G572" s="75" t="n"/>
      <c r="H572" s="28" t="n"/>
      <c r="J572" s="269" t="n"/>
      <c r="K572" s="270" t="n"/>
    </row>
    <row r="573" ht="13" customHeight="1">
      <c r="B573" s="75" t="n"/>
      <c r="E573" s="75" t="n"/>
      <c r="G573" s="75" t="n"/>
      <c r="H573" s="28" t="n"/>
      <c r="J573" s="269" t="n"/>
      <c r="K573" s="270" t="n"/>
    </row>
    <row r="574" ht="13" customHeight="1">
      <c r="B574" s="75" t="n"/>
      <c r="E574" s="75" t="n"/>
      <c r="G574" s="75" t="n"/>
      <c r="H574" s="28" t="n"/>
      <c r="J574" s="269" t="n"/>
      <c r="K574" s="270" t="n"/>
    </row>
    <row r="575" ht="13" customHeight="1">
      <c r="B575" s="75" t="n"/>
      <c r="E575" s="75" t="n"/>
      <c r="G575" s="75" t="n"/>
      <c r="H575" s="28" t="n"/>
      <c r="J575" s="269" t="n"/>
      <c r="K575" s="270" t="n"/>
    </row>
    <row r="576" ht="13" customHeight="1">
      <c r="B576" s="75" t="n"/>
      <c r="E576" s="75" t="n"/>
      <c r="G576" s="75" t="n"/>
      <c r="H576" s="28" t="n"/>
      <c r="J576" s="269" t="n"/>
      <c r="K576" s="270" t="n"/>
    </row>
    <row r="577" ht="13" customHeight="1">
      <c r="B577" s="75" t="n"/>
      <c r="E577" s="75" t="n"/>
      <c r="G577" s="75" t="n"/>
      <c r="H577" s="28" t="n"/>
      <c r="J577" s="269" t="n"/>
      <c r="K577" s="270" t="n"/>
    </row>
    <row r="578" ht="13" customHeight="1">
      <c r="B578" s="75" t="n"/>
      <c r="E578" s="75" t="n"/>
      <c r="G578" s="75" t="n"/>
      <c r="H578" s="28" t="n"/>
      <c r="J578" s="269" t="n"/>
      <c r="K578" s="270" t="n"/>
    </row>
    <row r="579" ht="13" customHeight="1">
      <c r="B579" s="75" t="n"/>
      <c r="E579" s="75" t="n"/>
      <c r="G579" s="75" t="n"/>
      <c r="H579" s="28" t="n"/>
      <c r="J579" s="269" t="n"/>
      <c r="K579" s="270" t="n"/>
    </row>
    <row r="580" ht="13" customHeight="1">
      <c r="B580" s="75" t="n"/>
      <c r="E580" s="75" t="n"/>
      <c r="G580" s="75" t="n"/>
      <c r="H580" s="28" t="n"/>
      <c r="J580" s="269" t="n"/>
      <c r="K580" s="270" t="n"/>
    </row>
    <row r="581" ht="13" customHeight="1">
      <c r="B581" s="75" t="n"/>
      <c r="E581" s="75" t="n"/>
      <c r="G581" s="75" t="n"/>
      <c r="H581" s="28" t="n"/>
      <c r="J581" s="269" t="n"/>
      <c r="K581" s="270" t="n"/>
    </row>
    <row r="582" ht="13" customHeight="1">
      <c r="B582" s="75" t="n"/>
      <c r="E582" s="75" t="n"/>
      <c r="G582" s="75" t="n"/>
      <c r="H582" s="28" t="n"/>
      <c r="J582" s="269" t="n"/>
      <c r="K582" s="270" t="n"/>
    </row>
    <row r="583" ht="13" customHeight="1">
      <c r="B583" s="75" t="n"/>
      <c r="E583" s="75" t="n"/>
      <c r="G583" s="75" t="n"/>
      <c r="H583" s="28" t="n"/>
      <c r="J583" s="269" t="n"/>
      <c r="K583" s="270" t="n"/>
    </row>
    <row r="584" ht="13" customHeight="1">
      <c r="B584" s="75" t="n"/>
      <c r="E584" s="75" t="n"/>
      <c r="G584" s="75" t="n"/>
      <c r="H584" s="28" t="n"/>
      <c r="J584" s="269" t="n"/>
      <c r="K584" s="270" t="n"/>
    </row>
    <row r="585" ht="13" customHeight="1">
      <c r="B585" s="75" t="n"/>
      <c r="E585" s="75" t="n"/>
      <c r="G585" s="75" t="n"/>
      <c r="H585" s="28" t="n"/>
      <c r="J585" s="269" t="n"/>
      <c r="K585" s="270" t="n"/>
    </row>
    <row r="586" ht="13" customHeight="1">
      <c r="B586" s="75" t="n"/>
      <c r="E586" s="75" t="n"/>
      <c r="G586" s="75" t="n"/>
      <c r="H586" s="28" t="n"/>
      <c r="J586" s="269" t="n"/>
      <c r="K586" s="270" t="n"/>
    </row>
    <row r="587" ht="13" customHeight="1">
      <c r="B587" s="75" t="n"/>
      <c r="E587" s="75" t="n"/>
      <c r="G587" s="75" t="n"/>
      <c r="H587" s="28" t="n"/>
      <c r="J587" s="269" t="n"/>
      <c r="K587" s="270" t="n"/>
    </row>
    <row r="588" ht="13" customHeight="1">
      <c r="B588" s="75" t="n"/>
      <c r="E588" s="75" t="n"/>
      <c r="G588" s="75" t="n"/>
      <c r="H588" s="28" t="n"/>
      <c r="J588" s="269" t="n"/>
      <c r="K588" s="270" t="n"/>
    </row>
    <row r="589" ht="13" customHeight="1">
      <c r="B589" s="75" t="n"/>
      <c r="E589" s="75" t="n"/>
      <c r="G589" s="75" t="n"/>
      <c r="H589" s="28" t="n"/>
      <c r="J589" s="269" t="n"/>
      <c r="K589" s="270" t="n"/>
    </row>
    <row r="590" ht="13" customHeight="1">
      <c r="B590" s="75" t="n"/>
      <c r="E590" s="75" t="n"/>
      <c r="G590" s="75" t="n"/>
      <c r="H590" s="28" t="n"/>
      <c r="J590" s="269" t="n"/>
      <c r="K590" s="270" t="n"/>
    </row>
    <row r="591" ht="13" customHeight="1">
      <c r="B591" s="75" t="n"/>
      <c r="E591" s="75" t="n"/>
      <c r="G591" s="75" t="n"/>
      <c r="H591" s="28" t="n"/>
      <c r="J591" s="269" t="n"/>
      <c r="K591" s="270" t="n"/>
    </row>
    <row r="592" ht="13" customHeight="1">
      <c r="B592" s="75" t="n"/>
      <c r="E592" s="75" t="n"/>
      <c r="G592" s="75" t="n"/>
      <c r="H592" s="28" t="n"/>
      <c r="J592" s="269" t="n"/>
      <c r="K592" s="270" t="n"/>
    </row>
    <row r="593" ht="13" customHeight="1">
      <c r="B593" s="75" t="n"/>
      <c r="E593" s="75" t="n"/>
      <c r="G593" s="75" t="n"/>
      <c r="H593" s="28" t="n"/>
      <c r="J593" s="269" t="n"/>
      <c r="K593" s="270" t="n"/>
    </row>
    <row r="594" ht="13" customHeight="1">
      <c r="B594" s="75" t="n"/>
      <c r="E594" s="75" t="n"/>
      <c r="G594" s="75" t="n"/>
      <c r="H594" s="28" t="n"/>
      <c r="J594" s="269" t="n"/>
      <c r="K594" s="270" t="n"/>
    </row>
    <row r="595" ht="13" customHeight="1">
      <c r="B595" s="75" t="n"/>
      <c r="E595" s="75" t="n"/>
      <c r="G595" s="75" t="n"/>
      <c r="H595" s="28" t="n"/>
      <c r="J595" s="269" t="n"/>
      <c r="K595" s="270" t="n"/>
    </row>
    <row r="596" ht="13" customHeight="1">
      <c r="B596" s="75" t="n"/>
      <c r="E596" s="75" t="n"/>
      <c r="G596" s="75" t="n"/>
      <c r="H596" s="28" t="n"/>
      <c r="J596" s="269" t="n"/>
      <c r="K596" s="270" t="n"/>
    </row>
    <row r="597" ht="13" customHeight="1">
      <c r="B597" s="75" t="n"/>
      <c r="E597" s="75" t="n"/>
      <c r="G597" s="75" t="n"/>
      <c r="H597" s="28" t="n"/>
      <c r="J597" s="269" t="n"/>
      <c r="K597" s="270" t="n"/>
    </row>
    <row r="598" ht="13" customHeight="1">
      <c r="B598" s="75" t="n"/>
      <c r="E598" s="75" t="n"/>
      <c r="G598" s="75" t="n"/>
      <c r="H598" s="28" t="n"/>
      <c r="J598" s="269" t="n"/>
      <c r="K598" s="270" t="n"/>
    </row>
    <row r="599" ht="13" customHeight="1">
      <c r="B599" s="75" t="n"/>
      <c r="E599" s="75" t="n"/>
      <c r="G599" s="75" t="n"/>
      <c r="H599" s="28" t="n"/>
      <c r="J599" s="269" t="n"/>
      <c r="K599" s="270" t="n"/>
    </row>
    <row r="600" ht="13" customHeight="1">
      <c r="B600" s="75" t="n"/>
      <c r="E600" s="75" t="n"/>
      <c r="G600" s="75" t="n"/>
      <c r="H600" s="28" t="n"/>
      <c r="J600" s="269" t="n"/>
      <c r="K600" s="270" t="n"/>
    </row>
    <row r="601" ht="13" customHeight="1">
      <c r="B601" s="75" t="n"/>
      <c r="E601" s="75" t="n"/>
      <c r="G601" s="75" t="n"/>
      <c r="H601" s="28" t="n"/>
      <c r="J601" s="269" t="n"/>
      <c r="K601" s="270" t="n"/>
    </row>
    <row r="602" ht="13" customHeight="1">
      <c r="B602" s="75" t="n"/>
      <c r="E602" s="75" t="n"/>
      <c r="G602" s="75" t="n"/>
      <c r="H602" s="28" t="n"/>
      <c r="J602" s="269" t="n"/>
      <c r="K602" s="270" t="n"/>
    </row>
    <row r="603" ht="13" customHeight="1">
      <c r="B603" s="75" t="n"/>
      <c r="E603" s="75" t="n"/>
      <c r="G603" s="75" t="n"/>
      <c r="H603" s="28" t="n"/>
      <c r="J603" s="269" t="n"/>
      <c r="K603" s="270" t="n"/>
    </row>
    <row r="604" ht="13" customHeight="1">
      <c r="B604" s="75" t="n"/>
      <c r="E604" s="75" t="n"/>
      <c r="G604" s="75" t="n"/>
      <c r="H604" s="28" t="n"/>
      <c r="J604" s="269" t="n"/>
      <c r="K604" s="270" t="n"/>
    </row>
    <row r="605" ht="13" customHeight="1">
      <c r="B605" s="75" t="n"/>
      <c r="E605" s="75" t="n"/>
      <c r="G605" s="75" t="n"/>
      <c r="H605" s="28" t="n"/>
      <c r="J605" s="269" t="n"/>
      <c r="K605" s="270" t="n"/>
    </row>
    <row r="606" ht="13" customHeight="1">
      <c r="B606" s="75" t="n"/>
      <c r="E606" s="75" t="n"/>
      <c r="G606" s="75" t="n"/>
      <c r="H606" s="28" t="n"/>
      <c r="J606" s="269" t="n"/>
      <c r="K606" s="270" t="n"/>
    </row>
    <row r="607" ht="13" customHeight="1">
      <c r="B607" s="75" t="n"/>
      <c r="E607" s="75" t="n"/>
      <c r="G607" s="75" t="n"/>
      <c r="H607" s="28" t="n"/>
      <c r="J607" s="269" t="n"/>
      <c r="K607" s="270" t="n"/>
    </row>
    <row r="608" ht="13" customHeight="1">
      <c r="B608" s="75" t="n"/>
      <c r="E608" s="75" t="n"/>
      <c r="G608" s="75" t="n"/>
      <c r="H608" s="28" t="n"/>
      <c r="J608" s="269" t="n"/>
      <c r="K608" s="270" t="n"/>
    </row>
    <row r="609" ht="13" customHeight="1">
      <c r="B609" s="75" t="n"/>
      <c r="E609" s="75" t="n"/>
      <c r="G609" s="75" t="n"/>
      <c r="H609" s="28" t="n"/>
      <c r="J609" s="269" t="n"/>
      <c r="K609" s="270" t="n"/>
    </row>
    <row r="610" ht="13" customHeight="1">
      <c r="B610" s="75" t="n"/>
      <c r="E610" s="75" t="n"/>
      <c r="G610" s="75" t="n"/>
      <c r="H610" s="28" t="n"/>
      <c r="J610" s="269" t="n"/>
      <c r="K610" s="270" t="n"/>
    </row>
    <row r="611" ht="13" customHeight="1">
      <c r="B611" s="75" t="n"/>
      <c r="E611" s="75" t="n"/>
      <c r="G611" s="75" t="n"/>
      <c r="H611" s="28" t="n"/>
      <c r="J611" s="269" t="n"/>
      <c r="K611" s="270" t="n"/>
    </row>
    <row r="612" ht="13" customHeight="1">
      <c r="B612" s="75" t="n"/>
      <c r="E612" s="75" t="n"/>
      <c r="G612" s="75" t="n"/>
      <c r="H612" s="28" t="n"/>
      <c r="J612" s="269" t="n"/>
      <c r="K612" s="270" t="n"/>
    </row>
    <row r="613" ht="13" customHeight="1">
      <c r="B613" s="75" t="n"/>
      <c r="E613" s="75" t="n"/>
      <c r="G613" s="75" t="n"/>
      <c r="H613" s="28" t="n"/>
      <c r="J613" s="269" t="n"/>
      <c r="K613" s="270" t="n"/>
    </row>
    <row r="614" ht="13" customHeight="1">
      <c r="B614" s="75" t="n"/>
      <c r="E614" s="75" t="n"/>
      <c r="G614" s="75" t="n"/>
      <c r="H614" s="28" t="n"/>
      <c r="J614" s="269" t="n"/>
      <c r="K614" s="270" t="n"/>
    </row>
    <row r="615" ht="13" customHeight="1">
      <c r="B615" s="75" t="n"/>
      <c r="E615" s="75" t="n"/>
      <c r="G615" s="75" t="n"/>
      <c r="H615" s="28" t="n"/>
      <c r="J615" s="269" t="n"/>
      <c r="K615" s="270" t="n"/>
    </row>
    <row r="616" ht="13" customHeight="1">
      <c r="B616" s="75" t="n"/>
      <c r="E616" s="75" t="n"/>
      <c r="G616" s="75" t="n"/>
      <c r="H616" s="28" t="n"/>
      <c r="J616" s="269" t="n"/>
      <c r="K616" s="270" t="n"/>
    </row>
    <row r="617" ht="13" customHeight="1">
      <c r="B617" s="75" t="n"/>
      <c r="E617" s="75" t="n"/>
      <c r="G617" s="75" t="n"/>
      <c r="H617" s="28" t="n"/>
      <c r="J617" s="269" t="n"/>
      <c r="K617" s="270" t="n"/>
    </row>
    <row r="618" ht="13" customHeight="1">
      <c r="B618" s="75" t="n"/>
      <c r="E618" s="75" t="n"/>
      <c r="G618" s="75" t="n"/>
      <c r="H618" s="28" t="n"/>
      <c r="J618" s="269" t="n"/>
      <c r="K618" s="270" t="n"/>
    </row>
    <row r="619" ht="13" customHeight="1">
      <c r="B619" s="75" t="n"/>
      <c r="E619" s="75" t="n"/>
      <c r="G619" s="75" t="n"/>
      <c r="H619" s="28" t="n"/>
      <c r="J619" s="269" t="n"/>
      <c r="K619" s="270" t="n"/>
    </row>
    <row r="620" ht="13" customHeight="1">
      <c r="B620" s="75" t="n"/>
      <c r="E620" s="75" t="n"/>
      <c r="G620" s="75" t="n"/>
      <c r="H620" s="28" t="n"/>
      <c r="J620" s="269" t="n"/>
      <c r="K620" s="270" t="n"/>
    </row>
    <row r="621" ht="13" customHeight="1">
      <c r="B621" s="75" t="n"/>
      <c r="E621" s="75" t="n"/>
      <c r="G621" s="75" t="n"/>
      <c r="H621" s="28" t="n"/>
      <c r="J621" s="269" t="n"/>
      <c r="K621" s="270" t="n"/>
    </row>
    <row r="622" ht="13" customHeight="1">
      <c r="B622" s="75" t="n"/>
      <c r="E622" s="75" t="n"/>
      <c r="G622" s="75" t="n"/>
      <c r="H622" s="28" t="n"/>
      <c r="J622" s="269" t="n"/>
      <c r="K622" s="270" t="n"/>
    </row>
    <row r="623" ht="13" customHeight="1">
      <c r="B623" s="75" t="n"/>
      <c r="E623" s="75" t="n"/>
      <c r="G623" s="75" t="n"/>
      <c r="H623" s="28" t="n"/>
      <c r="J623" s="269" t="n"/>
      <c r="K623" s="270" t="n"/>
    </row>
    <row r="624" ht="13" customHeight="1">
      <c r="B624" s="75" t="n"/>
      <c r="E624" s="75" t="n"/>
      <c r="G624" s="75" t="n"/>
      <c r="H624" s="28" t="n"/>
      <c r="J624" s="269" t="n"/>
      <c r="K624" s="270" t="n"/>
    </row>
    <row r="625" ht="13" customHeight="1">
      <c r="B625" s="75" t="n"/>
      <c r="E625" s="75" t="n"/>
      <c r="G625" s="75" t="n"/>
      <c r="H625" s="28" t="n"/>
      <c r="J625" s="269" t="n"/>
      <c r="K625" s="270" t="n"/>
    </row>
    <row r="626" ht="13" customHeight="1">
      <c r="B626" s="75" t="n"/>
      <c r="E626" s="75" t="n"/>
      <c r="G626" s="75" t="n"/>
      <c r="H626" s="28" t="n"/>
      <c r="J626" s="269" t="n"/>
      <c r="K626" s="270" t="n"/>
    </row>
    <row r="627" ht="13" customHeight="1">
      <c r="B627" s="75" t="n"/>
      <c r="E627" s="75" t="n"/>
      <c r="G627" s="75" t="n"/>
      <c r="H627" s="28" t="n"/>
      <c r="J627" s="269" t="n"/>
      <c r="K627" s="270" t="n"/>
    </row>
    <row r="628" ht="13" customHeight="1">
      <c r="B628" s="75" t="n"/>
      <c r="E628" s="75" t="n"/>
      <c r="G628" s="75" t="n"/>
      <c r="H628" s="28" t="n"/>
      <c r="J628" s="269" t="n"/>
      <c r="K628" s="270" t="n"/>
    </row>
    <row r="629" ht="13" customHeight="1">
      <c r="B629" s="75" t="n"/>
      <c r="E629" s="75" t="n"/>
      <c r="G629" s="75" t="n"/>
      <c r="H629" s="28" t="n"/>
      <c r="J629" s="269" t="n"/>
      <c r="K629" s="270" t="n"/>
    </row>
    <row r="630" ht="13" customHeight="1">
      <c r="B630" s="75" t="n"/>
      <c r="E630" s="75" t="n"/>
      <c r="G630" s="75" t="n"/>
      <c r="H630" s="28" t="n"/>
      <c r="J630" s="269" t="n"/>
      <c r="K630" s="270" t="n"/>
    </row>
    <row r="631" ht="13" customHeight="1">
      <c r="B631" s="75" t="n"/>
      <c r="E631" s="75" t="n"/>
      <c r="G631" s="75" t="n"/>
      <c r="H631" s="28" t="n"/>
      <c r="J631" s="269" t="n"/>
      <c r="K631" s="270" t="n"/>
    </row>
    <row r="632" ht="13" customHeight="1">
      <c r="B632" s="75" t="n"/>
      <c r="E632" s="75" t="n"/>
      <c r="G632" s="75" t="n"/>
      <c r="H632" s="28" t="n"/>
      <c r="J632" s="269" t="n"/>
      <c r="K632" s="270" t="n"/>
    </row>
    <row r="633" ht="13" customHeight="1">
      <c r="B633" s="75" t="n"/>
      <c r="E633" s="75" t="n"/>
      <c r="G633" s="75" t="n"/>
      <c r="H633" s="28" t="n"/>
      <c r="J633" s="269" t="n"/>
      <c r="K633" s="270" t="n"/>
    </row>
    <row r="634" ht="13" customHeight="1">
      <c r="B634" s="75" t="n"/>
      <c r="E634" s="75" t="n"/>
      <c r="G634" s="75" t="n"/>
      <c r="H634" s="28" t="n"/>
      <c r="J634" s="269" t="n"/>
      <c r="K634" s="270" t="n"/>
    </row>
    <row r="635" ht="13" customHeight="1">
      <c r="B635" s="75" t="n"/>
      <c r="E635" s="75" t="n"/>
      <c r="G635" s="75" t="n"/>
      <c r="H635" s="28" t="n"/>
      <c r="J635" s="269" t="n"/>
      <c r="K635" s="270" t="n"/>
    </row>
    <row r="636" ht="13" customHeight="1">
      <c r="B636" s="75" t="n"/>
      <c r="E636" s="75" t="n"/>
      <c r="G636" s="75" t="n"/>
      <c r="H636" s="28" t="n"/>
      <c r="J636" s="269" t="n"/>
      <c r="K636" s="270" t="n"/>
    </row>
    <row r="637" ht="13" customHeight="1">
      <c r="B637" s="75" t="n"/>
      <c r="E637" s="75" t="n"/>
      <c r="G637" s="75" t="n"/>
      <c r="H637" s="28" t="n"/>
      <c r="J637" s="269" t="n"/>
      <c r="K637" s="270" t="n"/>
    </row>
    <row r="638" ht="13" customHeight="1">
      <c r="B638" s="75" t="n"/>
      <c r="E638" s="75" t="n"/>
      <c r="G638" s="75" t="n"/>
      <c r="H638" s="28" t="n"/>
      <c r="J638" s="269" t="n"/>
      <c r="K638" s="270" t="n"/>
    </row>
    <row r="639" ht="13" customHeight="1">
      <c r="B639" s="75" t="n"/>
      <c r="E639" s="75" t="n"/>
      <c r="G639" s="75" t="n"/>
      <c r="H639" s="28" t="n"/>
      <c r="J639" s="269" t="n"/>
      <c r="K639" s="270" t="n"/>
    </row>
    <row r="640" ht="13" customHeight="1">
      <c r="B640" s="75" t="n"/>
      <c r="E640" s="75" t="n"/>
      <c r="G640" s="75" t="n"/>
      <c r="H640" s="28" t="n"/>
      <c r="J640" s="269" t="n"/>
      <c r="K640" s="270" t="n"/>
    </row>
    <row r="641" ht="13" customHeight="1">
      <c r="B641" s="75" t="n"/>
      <c r="E641" s="75" t="n"/>
      <c r="G641" s="75" t="n"/>
      <c r="H641" s="28" t="n"/>
      <c r="J641" s="269" t="n"/>
      <c r="K641" s="270" t="n"/>
    </row>
    <row r="642" ht="13" customHeight="1">
      <c r="B642" s="75" t="n"/>
      <c r="E642" s="75" t="n"/>
      <c r="G642" s="75" t="n"/>
      <c r="H642" s="28" t="n"/>
      <c r="J642" s="269" t="n"/>
      <c r="K642" s="270" t="n"/>
    </row>
    <row r="643" ht="13" customHeight="1">
      <c r="B643" s="75" t="n"/>
      <c r="E643" s="75" t="n"/>
      <c r="G643" s="75" t="n"/>
      <c r="H643" s="28" t="n"/>
      <c r="J643" s="269" t="n"/>
      <c r="K643" s="270" t="n"/>
    </row>
    <row r="644" ht="13" customHeight="1">
      <c r="B644" s="75" t="n"/>
      <c r="E644" s="75" t="n"/>
      <c r="G644" s="75" t="n"/>
      <c r="H644" s="28" t="n"/>
      <c r="J644" s="269" t="n"/>
      <c r="K644" s="270" t="n"/>
    </row>
    <row r="645" ht="13" customHeight="1">
      <c r="B645" s="75" t="n"/>
      <c r="E645" s="75" t="n"/>
      <c r="G645" s="75" t="n"/>
      <c r="H645" s="28" t="n"/>
      <c r="J645" s="269" t="n"/>
      <c r="K645" s="270" t="n"/>
    </row>
    <row r="646" ht="13" customHeight="1">
      <c r="B646" s="75" t="n"/>
      <c r="E646" s="75" t="n"/>
      <c r="G646" s="75" t="n"/>
      <c r="H646" s="28" t="n"/>
      <c r="J646" s="269" t="n"/>
      <c r="K646" s="270" t="n"/>
    </row>
    <row r="647" ht="13" customHeight="1">
      <c r="B647" s="75" t="n"/>
      <c r="E647" s="75" t="n"/>
      <c r="G647" s="75" t="n"/>
      <c r="H647" s="28" t="n"/>
      <c r="J647" s="269" t="n"/>
      <c r="K647" s="270" t="n"/>
    </row>
    <row r="648" ht="13" customHeight="1">
      <c r="B648" s="75" t="n"/>
      <c r="E648" s="75" t="n"/>
      <c r="G648" s="75" t="n"/>
      <c r="H648" s="28" t="n"/>
      <c r="J648" s="269" t="n"/>
      <c r="K648" s="270" t="n"/>
    </row>
    <row r="649" ht="13" customHeight="1">
      <c r="B649" s="75" t="n"/>
      <c r="E649" s="75" t="n"/>
      <c r="G649" s="75" t="n"/>
      <c r="H649" s="28" t="n"/>
      <c r="J649" s="269" t="n"/>
      <c r="K649" s="270" t="n"/>
    </row>
    <row r="650" ht="13" customHeight="1">
      <c r="B650" s="75" t="n"/>
      <c r="E650" s="75" t="n"/>
      <c r="G650" s="75" t="n"/>
      <c r="H650" s="28" t="n"/>
      <c r="J650" s="269" t="n"/>
      <c r="K650" s="270" t="n"/>
    </row>
    <row r="651" ht="13" customHeight="1">
      <c r="B651" s="75" t="n"/>
      <c r="E651" s="75" t="n"/>
      <c r="G651" s="75" t="n"/>
      <c r="H651" s="28" t="n"/>
      <c r="J651" s="269" t="n"/>
      <c r="K651" s="270" t="n"/>
    </row>
    <row r="652" ht="13" customHeight="1">
      <c r="B652" s="75" t="n"/>
      <c r="E652" s="75" t="n"/>
      <c r="G652" s="75" t="n"/>
      <c r="H652" s="28" t="n"/>
      <c r="J652" s="269" t="n"/>
      <c r="K652" s="270" t="n"/>
    </row>
    <row r="653" ht="13" customHeight="1">
      <c r="B653" s="75" t="n"/>
      <c r="E653" s="75" t="n"/>
      <c r="G653" s="75" t="n"/>
      <c r="H653" s="28" t="n"/>
      <c r="J653" s="269" t="n"/>
      <c r="K653" s="270" t="n"/>
    </row>
    <row r="654" ht="13" customHeight="1">
      <c r="B654" s="75" t="n"/>
      <c r="E654" s="75" t="n"/>
      <c r="G654" s="75" t="n"/>
      <c r="H654" s="28" t="n"/>
      <c r="J654" s="269" t="n"/>
      <c r="K654" s="270" t="n"/>
    </row>
    <row r="655" ht="13" customHeight="1">
      <c r="B655" s="75" t="n"/>
      <c r="E655" s="75" t="n"/>
      <c r="G655" s="75" t="n"/>
      <c r="H655" s="28" t="n"/>
      <c r="J655" s="269" t="n"/>
      <c r="K655" s="270" t="n"/>
    </row>
    <row r="656" ht="13" customHeight="1">
      <c r="B656" s="75" t="n"/>
      <c r="E656" s="75" t="n"/>
      <c r="G656" s="75" t="n"/>
      <c r="H656" s="28" t="n"/>
      <c r="J656" s="269" t="n"/>
      <c r="K656" s="270" t="n"/>
    </row>
    <row r="657" ht="13" customHeight="1">
      <c r="B657" s="75" t="n"/>
      <c r="E657" s="75" t="n"/>
      <c r="G657" s="75" t="n"/>
      <c r="H657" s="28" t="n"/>
      <c r="J657" s="269" t="n"/>
      <c r="K657" s="270" t="n"/>
    </row>
    <row r="658" ht="13" customHeight="1">
      <c r="B658" s="75" t="n"/>
      <c r="E658" s="75" t="n"/>
      <c r="G658" s="75" t="n"/>
      <c r="H658" s="28" t="n"/>
      <c r="J658" s="269" t="n"/>
      <c r="K658" s="270" t="n"/>
    </row>
    <row r="659" ht="13" customHeight="1">
      <c r="B659" s="75" t="n"/>
      <c r="E659" s="75" t="n"/>
      <c r="G659" s="75" t="n"/>
      <c r="H659" s="28" t="n"/>
      <c r="J659" s="269" t="n"/>
      <c r="K659" s="270" t="n"/>
    </row>
    <row r="660" ht="13" customHeight="1">
      <c r="B660" s="75" t="n"/>
      <c r="E660" s="75" t="n"/>
      <c r="G660" s="75" t="n"/>
      <c r="H660" s="28" t="n"/>
      <c r="J660" s="269" t="n"/>
      <c r="K660" s="270" t="n"/>
    </row>
    <row r="661" ht="13" customHeight="1">
      <c r="B661" s="75" t="n"/>
      <c r="E661" s="75" t="n"/>
      <c r="G661" s="75" t="n"/>
      <c r="H661" s="28" t="n"/>
      <c r="J661" s="269" t="n"/>
      <c r="K661" s="270" t="n"/>
    </row>
    <row r="662" ht="13" customHeight="1">
      <c r="B662" s="75" t="n"/>
      <c r="E662" s="75" t="n"/>
      <c r="G662" s="75" t="n"/>
      <c r="H662" s="28" t="n"/>
      <c r="J662" s="269" t="n"/>
      <c r="K662" s="270" t="n"/>
    </row>
    <row r="663" ht="13" customHeight="1">
      <c r="B663" s="75" t="n"/>
      <c r="E663" s="75" t="n"/>
      <c r="G663" s="75" t="n"/>
      <c r="H663" s="28" t="n"/>
      <c r="J663" s="269" t="n"/>
      <c r="K663" s="270" t="n"/>
    </row>
    <row r="664" ht="13" customHeight="1">
      <c r="B664" s="75" t="n"/>
      <c r="E664" s="75" t="n"/>
      <c r="G664" s="75" t="n"/>
      <c r="H664" s="28" t="n"/>
      <c r="J664" s="269" t="n"/>
      <c r="K664" s="270" t="n"/>
    </row>
    <row r="665" ht="13" customHeight="1">
      <c r="B665" s="75" t="n"/>
      <c r="E665" s="75" t="n"/>
      <c r="G665" s="75" t="n"/>
      <c r="H665" s="28" t="n"/>
      <c r="J665" s="269" t="n"/>
      <c r="K665" s="270" t="n"/>
    </row>
    <row r="666" ht="13" customHeight="1">
      <c r="B666" s="75" t="n"/>
      <c r="E666" s="75" t="n"/>
      <c r="G666" s="75" t="n"/>
      <c r="H666" s="28" t="n"/>
      <c r="J666" s="269" t="n"/>
      <c r="K666" s="270" t="n"/>
    </row>
    <row r="667" ht="13" customHeight="1">
      <c r="B667" s="75" t="n"/>
      <c r="E667" s="75" t="n"/>
      <c r="G667" s="75" t="n"/>
      <c r="H667" s="28" t="n"/>
      <c r="J667" s="269" t="n"/>
      <c r="K667" s="270" t="n"/>
    </row>
    <row r="668" ht="13" customHeight="1">
      <c r="B668" s="75" t="n"/>
      <c r="E668" s="75" t="n"/>
      <c r="G668" s="75" t="n"/>
      <c r="H668" s="28" t="n"/>
      <c r="J668" s="269" t="n"/>
      <c r="K668" s="270" t="n"/>
    </row>
    <row r="669" ht="13" customHeight="1">
      <c r="B669" s="75" t="n"/>
      <c r="E669" s="75" t="n"/>
      <c r="G669" s="75" t="n"/>
      <c r="H669" s="28" t="n"/>
      <c r="J669" s="269" t="n"/>
      <c r="K669" s="270" t="n"/>
    </row>
    <row r="670" ht="13" customHeight="1">
      <c r="B670" s="75" t="n"/>
      <c r="E670" s="75" t="n"/>
      <c r="G670" s="75" t="n"/>
      <c r="H670" s="28" t="n"/>
      <c r="J670" s="269" t="n"/>
      <c r="K670" s="270" t="n"/>
    </row>
    <row r="671" ht="13" customHeight="1">
      <c r="B671" s="75" t="n"/>
      <c r="E671" s="75" t="n"/>
      <c r="G671" s="75" t="n"/>
      <c r="H671" s="28" t="n"/>
      <c r="J671" s="269" t="n"/>
      <c r="K671" s="270" t="n"/>
    </row>
    <row r="672" ht="13" customHeight="1">
      <c r="B672" s="75" t="n"/>
      <c r="E672" s="75" t="n"/>
      <c r="G672" s="75" t="n"/>
      <c r="H672" s="28" t="n"/>
      <c r="J672" s="269" t="n"/>
      <c r="K672" s="270" t="n"/>
    </row>
    <row r="673" ht="13" customHeight="1">
      <c r="B673" s="75" t="n"/>
      <c r="E673" s="75" t="n"/>
      <c r="G673" s="75" t="n"/>
      <c r="H673" s="28" t="n"/>
      <c r="J673" s="269" t="n"/>
      <c r="K673" s="270" t="n"/>
    </row>
    <row r="674" ht="13" customHeight="1">
      <c r="B674" s="75" t="n"/>
      <c r="E674" s="75" t="n"/>
      <c r="G674" s="75" t="n"/>
      <c r="H674" s="28" t="n"/>
      <c r="J674" s="269" t="n"/>
      <c r="K674" s="270" t="n"/>
    </row>
    <row r="675" ht="13" customHeight="1">
      <c r="B675" s="75" t="n"/>
      <c r="E675" s="75" t="n"/>
      <c r="G675" s="75" t="n"/>
      <c r="H675" s="28" t="n"/>
      <c r="J675" s="269" t="n"/>
      <c r="K675" s="270" t="n"/>
    </row>
    <row r="676" ht="13" customHeight="1">
      <c r="B676" s="75" t="n"/>
      <c r="E676" s="75" t="n"/>
      <c r="G676" s="75" t="n"/>
      <c r="H676" s="28" t="n"/>
      <c r="J676" s="269" t="n"/>
      <c r="K676" s="270" t="n"/>
    </row>
    <row r="677" ht="13" customHeight="1">
      <c r="B677" s="75" t="n"/>
      <c r="E677" s="75" t="n"/>
      <c r="G677" s="75" t="n"/>
      <c r="H677" s="28" t="n"/>
      <c r="J677" s="269" t="n"/>
      <c r="K677" s="270" t="n"/>
    </row>
    <row r="678" ht="13" customHeight="1">
      <c r="B678" s="75" t="n"/>
      <c r="E678" s="75" t="n"/>
      <c r="G678" s="75" t="n"/>
      <c r="H678" s="28" t="n"/>
      <c r="J678" s="269" t="n"/>
      <c r="K678" s="270" t="n"/>
    </row>
    <row r="679" ht="13" customHeight="1">
      <c r="B679" s="75" t="n"/>
      <c r="E679" s="75" t="n"/>
      <c r="G679" s="75" t="n"/>
      <c r="H679" s="28" t="n"/>
      <c r="J679" s="269" t="n"/>
      <c r="K679" s="270" t="n"/>
    </row>
    <row r="680" ht="13" customHeight="1">
      <c r="B680" s="75" t="n"/>
      <c r="E680" s="75" t="n"/>
      <c r="G680" s="75" t="n"/>
      <c r="H680" s="28" t="n"/>
      <c r="J680" s="269" t="n"/>
      <c r="K680" s="270" t="n"/>
    </row>
    <row r="681" ht="13" customHeight="1">
      <c r="B681" s="75" t="n"/>
      <c r="E681" s="75" t="n"/>
      <c r="G681" s="75" t="n"/>
      <c r="H681" s="28" t="n"/>
      <c r="J681" s="269" t="n"/>
      <c r="K681" s="270" t="n"/>
    </row>
    <row r="682" ht="13" customHeight="1">
      <c r="B682" s="75" t="n"/>
      <c r="E682" s="75" t="n"/>
      <c r="G682" s="75" t="n"/>
      <c r="H682" s="28" t="n"/>
      <c r="J682" s="269" t="n"/>
      <c r="K682" s="270" t="n"/>
    </row>
    <row r="683" ht="13" customHeight="1">
      <c r="B683" s="75" t="n"/>
      <c r="E683" s="75" t="n"/>
      <c r="G683" s="75" t="n"/>
      <c r="H683" s="28" t="n"/>
      <c r="J683" s="269" t="n"/>
      <c r="K683" s="270" t="n"/>
    </row>
    <row r="684" ht="13" customHeight="1">
      <c r="B684" s="75" t="n"/>
      <c r="E684" s="75" t="n"/>
      <c r="G684" s="75" t="n"/>
      <c r="H684" s="28" t="n"/>
      <c r="J684" s="269" t="n"/>
      <c r="K684" s="270" t="n"/>
    </row>
    <row r="685" ht="13" customHeight="1">
      <c r="B685" s="75" t="n"/>
      <c r="E685" s="75" t="n"/>
      <c r="G685" s="75" t="n"/>
      <c r="H685" s="28" t="n"/>
      <c r="J685" s="269" t="n"/>
      <c r="K685" s="270" t="n"/>
    </row>
    <row r="686" ht="13" customHeight="1">
      <c r="B686" s="75" t="n"/>
      <c r="E686" s="75" t="n"/>
      <c r="G686" s="75" t="n"/>
      <c r="H686" s="28" t="n"/>
      <c r="J686" s="269" t="n"/>
      <c r="K686" s="270" t="n"/>
    </row>
    <row r="687" ht="13" customHeight="1">
      <c r="B687" s="75" t="n"/>
      <c r="E687" s="75" t="n"/>
      <c r="G687" s="75" t="n"/>
      <c r="H687" s="28" t="n"/>
      <c r="J687" s="269" t="n"/>
      <c r="K687" s="270" t="n"/>
    </row>
    <row r="688" ht="13" customHeight="1">
      <c r="B688" s="75" t="n"/>
      <c r="E688" s="75" t="n"/>
      <c r="G688" s="75" t="n"/>
      <c r="H688" s="28" t="n"/>
      <c r="J688" s="269" t="n"/>
      <c r="K688" s="270" t="n"/>
    </row>
    <row r="689" ht="13" customHeight="1">
      <c r="B689" s="75" t="n"/>
      <c r="E689" s="75" t="n"/>
      <c r="G689" s="75" t="n"/>
      <c r="H689" s="28" t="n"/>
      <c r="J689" s="269" t="n"/>
      <c r="K689" s="270" t="n"/>
    </row>
    <row r="690" ht="13" customHeight="1">
      <c r="B690" s="75" t="n"/>
      <c r="E690" s="75" t="n"/>
      <c r="G690" s="75" t="n"/>
      <c r="H690" s="28" t="n"/>
      <c r="J690" s="269" t="n"/>
      <c r="K690" s="270" t="n"/>
    </row>
    <row r="691" ht="13" customHeight="1">
      <c r="B691" s="75" t="n"/>
      <c r="E691" s="75" t="n"/>
      <c r="G691" s="75" t="n"/>
      <c r="H691" s="28" t="n"/>
      <c r="J691" s="269" t="n"/>
      <c r="K691" s="270" t="n"/>
    </row>
    <row r="692" ht="13" customHeight="1">
      <c r="B692" s="75" t="n"/>
      <c r="E692" s="75" t="n"/>
      <c r="G692" s="75" t="n"/>
      <c r="H692" s="28" t="n"/>
      <c r="J692" s="269" t="n"/>
      <c r="K692" s="270" t="n"/>
    </row>
    <row r="693" ht="13" customHeight="1">
      <c r="B693" s="75" t="n"/>
      <c r="E693" s="75" t="n"/>
      <c r="G693" s="75" t="n"/>
      <c r="H693" s="28" t="n"/>
      <c r="J693" s="269" t="n"/>
      <c r="K693" s="270" t="n"/>
    </row>
    <row r="694" ht="13" customHeight="1">
      <c r="B694" s="75" t="n"/>
      <c r="E694" s="75" t="n"/>
      <c r="G694" s="75" t="n"/>
      <c r="H694" s="28" t="n"/>
      <c r="J694" s="269" t="n"/>
      <c r="K694" s="270" t="n"/>
    </row>
    <row r="695" ht="13" customHeight="1">
      <c r="B695" s="75" t="n"/>
      <c r="E695" s="75" t="n"/>
      <c r="G695" s="75" t="n"/>
      <c r="H695" s="28" t="n"/>
      <c r="J695" s="269" t="n"/>
      <c r="K695" s="270" t="n"/>
    </row>
    <row r="696" ht="13" customHeight="1">
      <c r="B696" s="75" t="n"/>
      <c r="E696" s="75" t="n"/>
      <c r="G696" s="75" t="n"/>
      <c r="H696" s="28" t="n"/>
      <c r="J696" s="269" t="n"/>
      <c r="K696" s="270" t="n"/>
    </row>
    <row r="697" ht="13" customHeight="1">
      <c r="B697" s="75" t="n"/>
      <c r="E697" s="75" t="n"/>
      <c r="G697" s="75" t="n"/>
      <c r="H697" s="28" t="n"/>
      <c r="J697" s="269" t="n"/>
      <c r="K697" s="270" t="n"/>
    </row>
    <row r="698" ht="13" customHeight="1">
      <c r="B698" s="75" t="n"/>
      <c r="E698" s="75" t="n"/>
      <c r="G698" s="75" t="n"/>
      <c r="H698" s="28" t="n"/>
      <c r="J698" s="269" t="n"/>
      <c r="K698" s="270" t="n"/>
    </row>
    <row r="699" ht="13" customHeight="1">
      <c r="B699" s="75" t="n"/>
      <c r="E699" s="75" t="n"/>
      <c r="G699" s="75" t="n"/>
      <c r="H699" s="28" t="n"/>
      <c r="J699" s="269" t="n"/>
      <c r="K699" s="270" t="n"/>
    </row>
    <row r="700" ht="13" customHeight="1">
      <c r="B700" s="75" t="n"/>
      <c r="E700" s="75" t="n"/>
      <c r="G700" s="75" t="n"/>
      <c r="H700" s="28" t="n"/>
      <c r="J700" s="269" t="n"/>
      <c r="K700" s="270" t="n"/>
    </row>
    <row r="701" ht="13" customHeight="1">
      <c r="B701" s="75" t="n"/>
      <c r="E701" s="75" t="n"/>
      <c r="G701" s="75" t="n"/>
      <c r="H701" s="28" t="n"/>
      <c r="J701" s="269" t="n"/>
      <c r="K701" s="270" t="n"/>
    </row>
    <row r="702" ht="13" customHeight="1">
      <c r="B702" s="75" t="n"/>
      <c r="E702" s="75" t="n"/>
      <c r="G702" s="75" t="n"/>
      <c r="H702" s="28" t="n"/>
      <c r="J702" s="269" t="n"/>
      <c r="K702" s="270" t="n"/>
    </row>
    <row r="703" ht="13" customHeight="1">
      <c r="B703" s="75" t="n"/>
      <c r="E703" s="75" t="n"/>
      <c r="G703" s="75" t="n"/>
      <c r="H703" s="28" t="n"/>
      <c r="J703" s="269" t="n"/>
      <c r="K703" s="270" t="n"/>
    </row>
    <row r="704" ht="13" customHeight="1">
      <c r="B704" s="75" t="n"/>
      <c r="E704" s="75" t="n"/>
      <c r="G704" s="75" t="n"/>
      <c r="H704" s="28" t="n"/>
      <c r="J704" s="269" t="n"/>
      <c r="K704" s="270" t="n"/>
    </row>
    <row r="705" ht="13" customHeight="1">
      <c r="B705" s="75" t="n"/>
      <c r="E705" s="75" t="n"/>
      <c r="G705" s="75" t="n"/>
      <c r="H705" s="28" t="n"/>
      <c r="J705" s="269" t="n"/>
      <c r="K705" s="270" t="n"/>
    </row>
    <row r="706" ht="13" customHeight="1">
      <c r="B706" s="75" t="n"/>
      <c r="E706" s="75" t="n"/>
      <c r="G706" s="75" t="n"/>
      <c r="H706" s="28" t="n"/>
      <c r="J706" s="269" t="n"/>
      <c r="K706" s="270" t="n"/>
    </row>
    <row r="707" ht="13" customHeight="1">
      <c r="B707" s="75" t="n"/>
      <c r="E707" s="75" t="n"/>
      <c r="G707" s="75" t="n"/>
      <c r="H707" s="28" t="n"/>
      <c r="J707" s="269" t="n"/>
      <c r="K707" s="270" t="n"/>
    </row>
    <row r="708" ht="13" customHeight="1">
      <c r="B708" s="75" t="n"/>
      <c r="E708" s="75" t="n"/>
      <c r="G708" s="75" t="n"/>
      <c r="H708" s="28" t="n"/>
      <c r="J708" s="269" t="n"/>
      <c r="K708" s="270" t="n"/>
    </row>
    <row r="709" ht="13" customHeight="1">
      <c r="B709" s="75" t="n"/>
      <c r="E709" s="75" t="n"/>
      <c r="G709" s="75" t="n"/>
      <c r="H709" s="28" t="n"/>
      <c r="J709" s="269" t="n"/>
      <c r="K709" s="270" t="n"/>
    </row>
    <row r="710" ht="13" customHeight="1">
      <c r="B710" s="75" t="n"/>
      <c r="E710" s="75" t="n"/>
      <c r="G710" s="75" t="n"/>
      <c r="H710" s="28" t="n"/>
      <c r="J710" s="269" t="n"/>
      <c r="K710" s="270" t="n"/>
    </row>
    <row r="711" ht="13" customHeight="1">
      <c r="B711" s="75" t="n"/>
      <c r="E711" s="75" t="n"/>
      <c r="G711" s="75" t="n"/>
      <c r="H711" s="28" t="n"/>
      <c r="J711" s="269" t="n"/>
      <c r="K711" s="270" t="n"/>
    </row>
    <row r="712" ht="13" customHeight="1">
      <c r="B712" s="75" t="n"/>
      <c r="E712" s="75" t="n"/>
      <c r="G712" s="75" t="n"/>
      <c r="H712" s="28" t="n"/>
      <c r="J712" s="269" t="n"/>
      <c r="K712" s="270" t="n"/>
    </row>
    <row r="713" ht="13" customHeight="1">
      <c r="B713" s="75" t="n"/>
      <c r="E713" s="75" t="n"/>
      <c r="G713" s="75" t="n"/>
      <c r="H713" s="28" t="n"/>
      <c r="J713" s="269" t="n"/>
      <c r="K713" s="270" t="n"/>
    </row>
    <row r="714" ht="13" customHeight="1">
      <c r="B714" s="75" t="n"/>
      <c r="E714" s="75" t="n"/>
      <c r="G714" s="75" t="n"/>
      <c r="H714" s="28" t="n"/>
      <c r="J714" s="269" t="n"/>
      <c r="K714" s="270" t="n"/>
    </row>
    <row r="715" ht="13" customHeight="1">
      <c r="B715" s="75" t="n"/>
      <c r="E715" s="75" t="n"/>
      <c r="G715" s="75" t="n"/>
      <c r="H715" s="28" t="n"/>
      <c r="J715" s="269" t="n"/>
      <c r="K715" s="270" t="n"/>
    </row>
    <row r="716" ht="13" customHeight="1">
      <c r="B716" s="75" t="n"/>
      <c r="E716" s="75" t="n"/>
      <c r="G716" s="75" t="n"/>
      <c r="H716" s="28" t="n"/>
      <c r="J716" s="269" t="n"/>
      <c r="K716" s="270" t="n"/>
    </row>
    <row r="717" ht="13" customHeight="1">
      <c r="B717" s="75" t="n"/>
      <c r="E717" s="75" t="n"/>
      <c r="G717" s="75" t="n"/>
      <c r="H717" s="28" t="n"/>
      <c r="J717" s="269" t="n"/>
      <c r="K717" s="270" t="n"/>
    </row>
    <row r="718" ht="13" customHeight="1">
      <c r="B718" s="75" t="n"/>
      <c r="E718" s="75" t="n"/>
      <c r="G718" s="75" t="n"/>
      <c r="H718" s="28" t="n"/>
      <c r="J718" s="269" t="n"/>
      <c r="K718" s="270" t="n"/>
    </row>
    <row r="719" ht="13" customHeight="1">
      <c r="B719" s="75" t="n"/>
      <c r="E719" s="75" t="n"/>
      <c r="G719" s="75" t="n"/>
      <c r="H719" s="28" t="n"/>
      <c r="J719" s="269" t="n"/>
      <c r="K719" s="270" t="n"/>
    </row>
    <row r="720" ht="13" customHeight="1">
      <c r="B720" s="75" t="n"/>
      <c r="E720" s="75" t="n"/>
      <c r="G720" s="75" t="n"/>
      <c r="H720" s="28" t="n"/>
      <c r="J720" s="269" t="n"/>
      <c r="K720" s="270" t="n"/>
    </row>
    <row r="721" ht="13" customHeight="1">
      <c r="B721" s="75" t="n"/>
      <c r="E721" s="75" t="n"/>
      <c r="G721" s="75" t="n"/>
      <c r="H721" s="28" t="n"/>
      <c r="J721" s="269" t="n"/>
      <c r="K721" s="270" t="n"/>
    </row>
    <row r="722" ht="13" customHeight="1">
      <c r="B722" s="75" t="n"/>
      <c r="E722" s="75" t="n"/>
      <c r="G722" s="75" t="n"/>
      <c r="H722" s="28" t="n"/>
      <c r="J722" s="269" t="n"/>
      <c r="K722" s="270" t="n"/>
    </row>
    <row r="723" ht="13" customHeight="1">
      <c r="B723" s="75" t="n"/>
      <c r="E723" s="75" t="n"/>
      <c r="G723" s="75" t="n"/>
      <c r="H723" s="28" t="n"/>
      <c r="J723" s="269" t="n"/>
      <c r="K723" s="270" t="n"/>
    </row>
    <row r="724" ht="13" customHeight="1">
      <c r="B724" s="75" t="n"/>
      <c r="E724" s="75" t="n"/>
      <c r="G724" s="75" t="n"/>
      <c r="H724" s="28" t="n"/>
      <c r="J724" s="269" t="n"/>
      <c r="K724" s="270" t="n"/>
    </row>
    <row r="725" ht="13" customHeight="1">
      <c r="B725" s="75" t="n"/>
      <c r="E725" s="75" t="n"/>
      <c r="G725" s="75" t="n"/>
      <c r="H725" s="28" t="n"/>
      <c r="J725" s="269" t="n"/>
      <c r="K725" s="270" t="n"/>
    </row>
    <row r="726" ht="13" customHeight="1">
      <c r="B726" s="75" t="n"/>
      <c r="E726" s="75" t="n"/>
      <c r="G726" s="75" t="n"/>
      <c r="H726" s="28" t="n"/>
      <c r="J726" s="269" t="n"/>
      <c r="K726" s="270" t="n"/>
    </row>
    <row r="727" ht="13" customHeight="1">
      <c r="B727" s="75" t="n"/>
      <c r="E727" s="75" t="n"/>
      <c r="G727" s="75" t="n"/>
      <c r="H727" s="28" t="n"/>
      <c r="J727" s="269" t="n"/>
      <c r="K727" s="270" t="n"/>
    </row>
    <row r="728" ht="13" customHeight="1">
      <c r="B728" s="75" t="n"/>
      <c r="E728" s="75" t="n"/>
      <c r="G728" s="75" t="n"/>
      <c r="H728" s="28" t="n"/>
      <c r="J728" s="269" t="n"/>
      <c r="K728" s="270" t="n"/>
    </row>
    <row r="729" ht="13" customHeight="1">
      <c r="B729" s="75" t="n"/>
      <c r="E729" s="75" t="n"/>
      <c r="G729" s="75" t="n"/>
      <c r="H729" s="28" t="n"/>
      <c r="J729" s="269" t="n"/>
      <c r="K729" s="270" t="n"/>
    </row>
    <row r="730" ht="13" customHeight="1">
      <c r="B730" s="75" t="n"/>
      <c r="E730" s="75" t="n"/>
      <c r="G730" s="75" t="n"/>
      <c r="H730" s="28" t="n"/>
      <c r="J730" s="269" t="n"/>
      <c r="K730" s="270" t="n"/>
    </row>
    <row r="731" ht="13" customHeight="1">
      <c r="B731" s="75" t="n"/>
      <c r="E731" s="75" t="n"/>
      <c r="G731" s="75" t="n"/>
      <c r="H731" s="28" t="n"/>
      <c r="J731" s="269" t="n"/>
      <c r="K731" s="270" t="n"/>
    </row>
    <row r="732" ht="13" customHeight="1">
      <c r="B732" s="75" t="n"/>
      <c r="E732" s="75" t="n"/>
      <c r="G732" s="75" t="n"/>
      <c r="H732" s="28" t="n"/>
      <c r="J732" s="269" t="n"/>
      <c r="K732" s="270" t="n"/>
    </row>
    <row r="733" ht="13" customHeight="1">
      <c r="B733" s="75" t="n"/>
      <c r="E733" s="75" t="n"/>
      <c r="G733" s="75" t="n"/>
      <c r="H733" s="28" t="n"/>
      <c r="J733" s="269" t="n"/>
      <c r="K733" s="270" t="n"/>
    </row>
    <row r="734" ht="13" customHeight="1">
      <c r="B734" s="75" t="n"/>
      <c r="E734" s="75" t="n"/>
      <c r="G734" s="75" t="n"/>
      <c r="H734" s="28" t="n"/>
      <c r="J734" s="269" t="n"/>
      <c r="K734" s="270" t="n"/>
    </row>
    <row r="735" ht="13" customHeight="1">
      <c r="B735" s="75" t="n"/>
      <c r="E735" s="75" t="n"/>
      <c r="G735" s="75" t="n"/>
      <c r="H735" s="28" t="n"/>
      <c r="J735" s="269" t="n"/>
      <c r="K735" s="270" t="n"/>
    </row>
    <row r="736" ht="13" customHeight="1">
      <c r="B736" s="75" t="n"/>
      <c r="E736" s="75" t="n"/>
      <c r="G736" s="75" t="n"/>
      <c r="H736" s="28" t="n"/>
      <c r="J736" s="269" t="n"/>
      <c r="K736" s="270" t="n"/>
    </row>
    <row r="737" ht="13" customHeight="1">
      <c r="B737" s="75" t="n"/>
      <c r="E737" s="75" t="n"/>
      <c r="G737" s="75" t="n"/>
      <c r="H737" s="28" t="n"/>
      <c r="J737" s="269" t="n"/>
      <c r="K737" s="270" t="n"/>
    </row>
    <row r="738" ht="13" customHeight="1">
      <c r="B738" s="75" t="n"/>
      <c r="E738" s="75" t="n"/>
      <c r="G738" s="75" t="n"/>
      <c r="H738" s="28" t="n"/>
      <c r="J738" s="269" t="n"/>
      <c r="K738" s="270" t="n"/>
    </row>
    <row r="739" ht="13" customHeight="1">
      <c r="B739" s="75" t="n"/>
      <c r="E739" s="75" t="n"/>
      <c r="G739" s="75" t="n"/>
      <c r="H739" s="28" t="n"/>
      <c r="J739" s="269" t="n"/>
      <c r="K739" s="270" t="n"/>
    </row>
    <row r="740" ht="13" customHeight="1">
      <c r="B740" s="75" t="n"/>
      <c r="E740" s="75" t="n"/>
      <c r="G740" s="75" t="n"/>
      <c r="H740" s="28" t="n"/>
      <c r="J740" s="269" t="n"/>
      <c r="K740" s="270" t="n"/>
    </row>
    <row r="741" ht="13" customHeight="1">
      <c r="B741" s="75" t="n"/>
      <c r="E741" s="75" t="n"/>
      <c r="G741" s="75" t="n"/>
      <c r="H741" s="28" t="n"/>
      <c r="J741" s="269" t="n"/>
      <c r="K741" s="270" t="n"/>
    </row>
    <row r="742" ht="13" customHeight="1">
      <c r="B742" s="75" t="n"/>
      <c r="E742" s="75" t="n"/>
      <c r="G742" s="75" t="n"/>
      <c r="H742" s="28" t="n"/>
      <c r="J742" s="269" t="n"/>
      <c r="K742" s="270" t="n"/>
    </row>
    <row r="743" ht="13" customHeight="1">
      <c r="B743" s="75" t="n"/>
      <c r="E743" s="75" t="n"/>
      <c r="G743" s="75" t="n"/>
      <c r="H743" s="28" t="n"/>
      <c r="J743" s="269" t="n"/>
      <c r="K743" s="270" t="n"/>
    </row>
    <row r="744" ht="13" customHeight="1">
      <c r="B744" s="75" t="n"/>
      <c r="E744" s="75" t="n"/>
      <c r="G744" s="75" t="n"/>
      <c r="H744" s="28" t="n"/>
      <c r="J744" s="269" t="n"/>
      <c r="K744" s="270" t="n"/>
    </row>
    <row r="745" ht="13" customHeight="1">
      <c r="B745" s="75" t="n"/>
      <c r="E745" s="75" t="n"/>
      <c r="G745" s="75" t="n"/>
      <c r="H745" s="28" t="n"/>
      <c r="J745" s="269" t="n"/>
      <c r="K745" s="270" t="n"/>
    </row>
    <row r="746" ht="13" customHeight="1">
      <c r="B746" s="75" t="n"/>
      <c r="E746" s="75" t="n"/>
      <c r="G746" s="75" t="n"/>
      <c r="H746" s="28" t="n"/>
      <c r="J746" s="269" t="n"/>
      <c r="K746" s="270" t="n"/>
    </row>
    <row r="747" ht="13" customHeight="1">
      <c r="B747" s="75" t="n"/>
      <c r="E747" s="75" t="n"/>
      <c r="G747" s="75" t="n"/>
      <c r="H747" s="28" t="n"/>
      <c r="J747" s="269" t="n"/>
      <c r="K747" s="270" t="n"/>
    </row>
    <row r="748" ht="13" customHeight="1">
      <c r="B748" s="75" t="n"/>
      <c r="E748" s="75" t="n"/>
      <c r="G748" s="75" t="n"/>
      <c r="H748" s="28" t="n"/>
      <c r="J748" s="269" t="n"/>
      <c r="K748" s="270" t="n"/>
    </row>
    <row r="749" ht="13" customHeight="1">
      <c r="B749" s="75" t="n"/>
      <c r="E749" s="75" t="n"/>
      <c r="G749" s="75" t="n"/>
      <c r="H749" s="28" t="n"/>
      <c r="J749" s="269" t="n"/>
      <c r="K749" s="270" t="n"/>
    </row>
    <row r="750" ht="13" customHeight="1">
      <c r="B750" s="75" t="n"/>
      <c r="E750" s="75" t="n"/>
      <c r="G750" s="75" t="n"/>
      <c r="H750" s="28" t="n"/>
      <c r="J750" s="269" t="n"/>
      <c r="K750" s="270" t="n"/>
    </row>
    <row r="751" ht="13" customHeight="1">
      <c r="B751" s="75" t="n"/>
      <c r="E751" s="75" t="n"/>
      <c r="G751" s="75" t="n"/>
      <c r="H751" s="28" t="n"/>
      <c r="J751" s="269" t="n"/>
      <c r="K751" s="270" t="n"/>
    </row>
    <row r="752" ht="13" customHeight="1">
      <c r="B752" s="75" t="n"/>
      <c r="E752" s="75" t="n"/>
      <c r="G752" s="75" t="n"/>
      <c r="H752" s="28" t="n"/>
      <c r="J752" s="269" t="n"/>
      <c r="K752" s="270" t="n"/>
    </row>
    <row r="753" ht="13" customHeight="1">
      <c r="B753" s="75" t="n"/>
      <c r="E753" s="75" t="n"/>
      <c r="G753" s="75" t="n"/>
      <c r="H753" s="28" t="n"/>
      <c r="J753" s="269" t="n"/>
      <c r="K753" s="270" t="n"/>
    </row>
    <row r="754" ht="13" customHeight="1">
      <c r="B754" s="75" t="n"/>
      <c r="E754" s="75" t="n"/>
      <c r="G754" s="75" t="n"/>
      <c r="H754" s="28" t="n"/>
      <c r="J754" s="269" t="n"/>
      <c r="K754" s="270" t="n"/>
    </row>
    <row r="755" ht="13" customHeight="1">
      <c r="B755" s="75" t="n"/>
      <c r="E755" s="75" t="n"/>
      <c r="G755" s="75" t="n"/>
      <c r="H755" s="28" t="n"/>
      <c r="J755" s="269" t="n"/>
      <c r="K755" s="270" t="n"/>
    </row>
    <row r="756" ht="13" customHeight="1">
      <c r="B756" s="75" t="n"/>
      <c r="E756" s="75" t="n"/>
      <c r="G756" s="75" t="n"/>
      <c r="H756" s="28" t="n"/>
      <c r="J756" s="269" t="n"/>
      <c r="K756" s="270" t="n"/>
    </row>
    <row r="757" ht="13" customHeight="1">
      <c r="B757" s="75" t="n"/>
      <c r="E757" s="75" t="n"/>
      <c r="G757" s="75" t="n"/>
      <c r="H757" s="28" t="n"/>
      <c r="J757" s="269" t="n"/>
      <c r="K757" s="270" t="n"/>
    </row>
    <row r="758" ht="13" customHeight="1">
      <c r="B758" s="75" t="n"/>
      <c r="E758" s="75" t="n"/>
      <c r="G758" s="75" t="n"/>
      <c r="H758" s="28" t="n"/>
      <c r="J758" s="269" t="n"/>
      <c r="K758" s="270" t="n"/>
    </row>
    <row r="759" ht="13" customHeight="1">
      <c r="B759" s="75" t="n"/>
      <c r="E759" s="75" t="n"/>
      <c r="G759" s="75" t="n"/>
      <c r="H759" s="28" t="n"/>
      <c r="J759" s="269" t="n"/>
      <c r="K759" s="270" t="n"/>
    </row>
    <row r="760" ht="13" customHeight="1">
      <c r="B760" s="75" t="n"/>
      <c r="E760" s="75" t="n"/>
      <c r="G760" s="75" t="n"/>
      <c r="H760" s="28" t="n"/>
      <c r="J760" s="269" t="n"/>
      <c r="K760" s="270" t="n"/>
    </row>
    <row r="761" ht="13" customHeight="1">
      <c r="B761" s="75" t="n"/>
      <c r="E761" s="75" t="n"/>
      <c r="G761" s="75" t="n"/>
      <c r="H761" s="28" t="n"/>
      <c r="J761" s="269" t="n"/>
      <c r="K761" s="270" t="n"/>
    </row>
    <row r="762" ht="13" customHeight="1">
      <c r="B762" s="75" t="n"/>
      <c r="E762" s="75" t="n"/>
      <c r="G762" s="75" t="n"/>
      <c r="H762" s="28" t="n"/>
      <c r="J762" s="269" t="n"/>
      <c r="K762" s="270" t="n"/>
    </row>
    <row r="763" ht="13" customHeight="1">
      <c r="B763" s="75" t="n"/>
      <c r="E763" s="75" t="n"/>
      <c r="G763" s="75" t="n"/>
      <c r="H763" s="28" t="n"/>
      <c r="J763" s="269" t="n"/>
      <c r="K763" s="270" t="n"/>
    </row>
    <row r="764" ht="13" customHeight="1">
      <c r="B764" s="75" t="n"/>
      <c r="E764" s="75" t="n"/>
      <c r="G764" s="75" t="n"/>
      <c r="H764" s="28" t="n"/>
      <c r="J764" s="269" t="n"/>
      <c r="K764" s="270" t="n"/>
    </row>
    <row r="765" ht="13" customHeight="1">
      <c r="B765" s="75" t="n"/>
      <c r="E765" s="75" t="n"/>
      <c r="G765" s="75" t="n"/>
      <c r="H765" s="28" t="n"/>
      <c r="J765" s="269" t="n"/>
      <c r="K765" s="270" t="n"/>
    </row>
    <row r="766" ht="13" customHeight="1">
      <c r="B766" s="75" t="n"/>
      <c r="E766" s="75" t="n"/>
      <c r="G766" s="75" t="n"/>
      <c r="H766" s="28" t="n"/>
      <c r="J766" s="269" t="n"/>
      <c r="K766" s="270" t="n"/>
    </row>
    <row r="767" ht="13" customHeight="1">
      <c r="B767" s="75" t="n"/>
      <c r="E767" s="75" t="n"/>
      <c r="G767" s="75" t="n"/>
      <c r="H767" s="28" t="n"/>
      <c r="J767" s="269" t="n"/>
      <c r="K767" s="270" t="n"/>
    </row>
    <row r="768" ht="13" customHeight="1">
      <c r="B768" s="75" t="n"/>
      <c r="E768" s="75" t="n"/>
      <c r="G768" s="75" t="n"/>
      <c r="H768" s="28" t="n"/>
      <c r="J768" s="269" t="n"/>
      <c r="K768" s="270" t="n"/>
    </row>
    <row r="769" ht="13" customHeight="1">
      <c r="B769" s="75" t="n"/>
      <c r="E769" s="75" t="n"/>
      <c r="G769" s="75" t="n"/>
      <c r="H769" s="28" t="n"/>
      <c r="J769" s="269" t="n"/>
      <c r="K769" s="270" t="n"/>
    </row>
    <row r="770" ht="13" customHeight="1">
      <c r="B770" s="75" t="n"/>
      <c r="E770" s="75" t="n"/>
      <c r="G770" s="75" t="n"/>
      <c r="H770" s="28" t="n"/>
      <c r="J770" s="269" t="n"/>
      <c r="K770" s="270" t="n"/>
    </row>
    <row r="771" ht="13" customHeight="1">
      <c r="B771" s="75" t="n"/>
      <c r="E771" s="75" t="n"/>
      <c r="G771" s="75" t="n"/>
      <c r="H771" s="28" t="n"/>
      <c r="J771" s="269" t="n"/>
      <c r="K771" s="270" t="n"/>
    </row>
    <row r="772" ht="13" customHeight="1">
      <c r="B772" s="75" t="n"/>
      <c r="E772" s="75" t="n"/>
      <c r="G772" s="75" t="n"/>
      <c r="H772" s="28" t="n"/>
      <c r="J772" s="269" t="n"/>
      <c r="K772" s="270" t="n"/>
    </row>
    <row r="773" ht="13" customHeight="1">
      <c r="B773" s="75" t="n"/>
      <c r="E773" s="75" t="n"/>
      <c r="G773" s="75" t="n"/>
      <c r="H773" s="28" t="n"/>
      <c r="J773" s="269" t="n"/>
      <c r="K773" s="270" t="n"/>
    </row>
    <row r="774" ht="13" customHeight="1">
      <c r="B774" s="75" t="n"/>
      <c r="E774" s="75" t="n"/>
      <c r="G774" s="75" t="n"/>
      <c r="H774" s="28" t="n"/>
      <c r="J774" s="269" t="n"/>
      <c r="K774" s="270" t="n"/>
    </row>
    <row r="775" ht="13" customHeight="1">
      <c r="B775" s="75" t="n"/>
      <c r="E775" s="75" t="n"/>
      <c r="G775" s="75" t="n"/>
      <c r="H775" s="28" t="n"/>
      <c r="J775" s="269" t="n"/>
      <c r="K775" s="270" t="n"/>
    </row>
    <row r="776" ht="13" customHeight="1">
      <c r="B776" s="75" t="n"/>
      <c r="E776" s="75" t="n"/>
      <c r="G776" s="75" t="n"/>
      <c r="H776" s="28" t="n"/>
      <c r="J776" s="269" t="n"/>
      <c r="K776" s="270" t="n"/>
    </row>
    <row r="777" ht="13" customHeight="1">
      <c r="B777" s="75" t="n"/>
      <c r="E777" s="75" t="n"/>
      <c r="G777" s="75" t="n"/>
      <c r="H777" s="28" t="n"/>
      <c r="J777" s="269" t="n"/>
      <c r="K777" s="270" t="n"/>
    </row>
    <row r="778" ht="13" customHeight="1">
      <c r="B778" s="75" t="n"/>
      <c r="E778" s="75" t="n"/>
      <c r="G778" s="75" t="n"/>
      <c r="H778" s="28" t="n"/>
      <c r="J778" s="269" t="n"/>
      <c r="K778" s="270" t="n"/>
    </row>
    <row r="779" ht="13" customHeight="1">
      <c r="B779" s="75" t="n"/>
      <c r="E779" s="75" t="n"/>
      <c r="G779" s="75" t="n"/>
      <c r="H779" s="28" t="n"/>
      <c r="J779" s="269" t="n"/>
      <c r="K779" s="270" t="n"/>
    </row>
    <row r="780" ht="13" customHeight="1">
      <c r="B780" s="75" t="n"/>
      <c r="E780" s="75" t="n"/>
      <c r="G780" s="75" t="n"/>
      <c r="H780" s="28" t="n"/>
      <c r="J780" s="269" t="n"/>
      <c r="K780" s="270" t="n"/>
    </row>
    <row r="781" ht="13" customHeight="1">
      <c r="B781" s="75" t="n"/>
      <c r="E781" s="75" t="n"/>
      <c r="G781" s="75" t="n"/>
      <c r="H781" s="28" t="n"/>
      <c r="J781" s="269" t="n"/>
      <c r="K781" s="270" t="n"/>
    </row>
    <row r="782" ht="13" customHeight="1">
      <c r="B782" s="75" t="n"/>
      <c r="E782" s="75" t="n"/>
      <c r="G782" s="75" t="n"/>
      <c r="H782" s="28" t="n"/>
      <c r="J782" s="269" t="n"/>
      <c r="K782" s="270" t="n"/>
    </row>
    <row r="783" ht="13" customHeight="1">
      <c r="B783" s="75" t="n"/>
      <c r="E783" s="75" t="n"/>
      <c r="G783" s="75" t="n"/>
      <c r="H783" s="28" t="n"/>
      <c r="J783" s="269" t="n"/>
      <c r="K783" s="270" t="n"/>
    </row>
    <row r="784" ht="13" customHeight="1">
      <c r="B784" s="75" t="n"/>
      <c r="E784" s="75" t="n"/>
      <c r="G784" s="75" t="n"/>
      <c r="H784" s="28" t="n"/>
      <c r="J784" s="269" t="n"/>
      <c r="K784" s="270" t="n"/>
    </row>
    <row r="785" ht="13" customHeight="1">
      <c r="B785" s="75" t="n"/>
      <c r="E785" s="75" t="n"/>
      <c r="G785" s="75" t="n"/>
      <c r="H785" s="28" t="n"/>
      <c r="J785" s="269" t="n"/>
      <c r="K785" s="270" t="n"/>
    </row>
    <row r="786" ht="13" customHeight="1">
      <c r="B786" s="75" t="n"/>
      <c r="E786" s="75" t="n"/>
      <c r="G786" s="75" t="n"/>
      <c r="H786" s="28" t="n"/>
      <c r="J786" s="269" t="n"/>
      <c r="K786" s="270" t="n"/>
    </row>
    <row r="787" ht="13" customHeight="1">
      <c r="B787" s="75" t="n"/>
      <c r="E787" s="75" t="n"/>
      <c r="G787" s="75" t="n"/>
      <c r="H787" s="28" t="n"/>
      <c r="J787" s="269" t="n"/>
      <c r="K787" s="270" t="n"/>
    </row>
    <row r="788" ht="13" customHeight="1">
      <c r="B788" s="75" t="n"/>
      <c r="E788" s="75" t="n"/>
      <c r="G788" s="75" t="n"/>
      <c r="H788" s="28" t="n"/>
      <c r="J788" s="269" t="n"/>
      <c r="K788" s="270" t="n"/>
    </row>
    <row r="789" ht="13" customHeight="1">
      <c r="B789" s="75" t="n"/>
      <c r="E789" s="75" t="n"/>
      <c r="G789" s="75" t="n"/>
      <c r="H789" s="28" t="n"/>
      <c r="J789" s="269" t="n"/>
      <c r="K789" s="270" t="n"/>
    </row>
    <row r="790" ht="13" customHeight="1">
      <c r="B790" s="75" t="n"/>
      <c r="E790" s="75" t="n"/>
      <c r="G790" s="75" t="n"/>
      <c r="H790" s="28" t="n"/>
      <c r="J790" s="269" t="n"/>
      <c r="K790" s="270" t="n"/>
    </row>
    <row r="791" ht="13" customHeight="1">
      <c r="B791" s="75" t="n"/>
      <c r="E791" s="75" t="n"/>
      <c r="G791" s="75" t="n"/>
      <c r="H791" s="28" t="n"/>
      <c r="J791" s="269" t="n"/>
      <c r="K791" s="270" t="n"/>
    </row>
    <row r="792" ht="13" customHeight="1">
      <c r="B792" s="75" t="n"/>
      <c r="E792" s="75" t="n"/>
      <c r="G792" s="75" t="n"/>
      <c r="H792" s="28" t="n"/>
      <c r="J792" s="269" t="n"/>
      <c r="K792" s="270" t="n"/>
    </row>
    <row r="793" ht="13" customHeight="1">
      <c r="B793" s="75" t="n"/>
      <c r="E793" s="75" t="n"/>
      <c r="G793" s="75" t="n"/>
      <c r="H793" s="28" t="n"/>
      <c r="J793" s="269" t="n"/>
      <c r="K793" s="270" t="n"/>
    </row>
    <row r="794" ht="13" customHeight="1">
      <c r="B794" s="75" t="n"/>
      <c r="E794" s="75" t="n"/>
      <c r="G794" s="75" t="n"/>
      <c r="H794" s="28" t="n"/>
      <c r="J794" s="269" t="n"/>
      <c r="K794" s="270" t="n"/>
    </row>
    <row r="795" ht="13" customHeight="1">
      <c r="B795" s="75" t="n"/>
      <c r="E795" s="75" t="n"/>
      <c r="G795" s="75" t="n"/>
      <c r="H795" s="28" t="n"/>
      <c r="J795" s="269" t="n"/>
      <c r="K795" s="270" t="n"/>
    </row>
    <row r="796" ht="13" customHeight="1">
      <c r="B796" s="75" t="n"/>
      <c r="E796" s="75" t="n"/>
      <c r="G796" s="75" t="n"/>
      <c r="H796" s="28" t="n"/>
      <c r="J796" s="269" t="n"/>
      <c r="K796" s="270" t="n"/>
    </row>
    <row r="797" ht="13" customHeight="1">
      <c r="B797" s="75" t="n"/>
      <c r="E797" s="75" t="n"/>
      <c r="G797" s="75" t="n"/>
      <c r="H797" s="28" t="n"/>
      <c r="J797" s="269" t="n"/>
      <c r="K797" s="270" t="n"/>
    </row>
    <row r="798" ht="13" customHeight="1">
      <c r="B798" s="75" t="n"/>
      <c r="E798" s="75" t="n"/>
      <c r="G798" s="75" t="n"/>
      <c r="H798" s="28" t="n"/>
      <c r="J798" s="269" t="n"/>
      <c r="K798" s="270" t="n"/>
    </row>
    <row r="799" ht="13" customHeight="1">
      <c r="B799" s="75" t="n"/>
      <c r="E799" s="75" t="n"/>
      <c r="G799" s="75" t="n"/>
      <c r="H799" s="28" t="n"/>
      <c r="J799" s="269" t="n"/>
      <c r="K799" s="270" t="n"/>
    </row>
    <row r="800" ht="13" customHeight="1">
      <c r="B800" s="75" t="n"/>
      <c r="E800" s="75" t="n"/>
      <c r="G800" s="75" t="n"/>
      <c r="H800" s="28" t="n"/>
      <c r="J800" s="269" t="n"/>
      <c r="K800" s="270" t="n"/>
    </row>
    <row r="801" ht="13" customHeight="1">
      <c r="B801" s="75" t="n"/>
      <c r="E801" s="75" t="n"/>
      <c r="G801" s="75" t="n"/>
      <c r="H801" s="28" t="n"/>
      <c r="J801" s="269" t="n"/>
      <c r="K801" s="270" t="n"/>
    </row>
    <row r="802" ht="13" customHeight="1">
      <c r="B802" s="75" t="n"/>
      <c r="E802" s="75" t="n"/>
      <c r="G802" s="75" t="n"/>
      <c r="H802" s="28" t="n"/>
      <c r="J802" s="269" t="n"/>
      <c r="K802" s="270" t="n"/>
    </row>
    <row r="803" ht="13" customHeight="1">
      <c r="B803" s="75" t="n"/>
      <c r="E803" s="75" t="n"/>
      <c r="G803" s="75" t="n"/>
      <c r="H803" s="28" t="n"/>
      <c r="J803" s="269" t="n"/>
      <c r="K803" s="270" t="n"/>
    </row>
    <row r="804" ht="13" customHeight="1">
      <c r="B804" s="75" t="n"/>
      <c r="E804" s="75" t="n"/>
      <c r="G804" s="75" t="n"/>
      <c r="H804" s="28" t="n"/>
      <c r="J804" s="269" t="n"/>
      <c r="K804" s="270" t="n"/>
    </row>
    <row r="805" ht="13" customHeight="1">
      <c r="B805" s="75" t="n"/>
      <c r="E805" s="75" t="n"/>
      <c r="G805" s="75" t="n"/>
      <c r="H805" s="28" t="n"/>
      <c r="J805" s="269" t="n"/>
      <c r="K805" s="270" t="n"/>
    </row>
    <row r="806" ht="13" customHeight="1">
      <c r="B806" s="75" t="n"/>
      <c r="E806" s="75" t="n"/>
      <c r="G806" s="75" t="n"/>
      <c r="H806" s="28" t="n"/>
      <c r="J806" s="269" t="n"/>
      <c r="K806" s="270" t="n"/>
    </row>
    <row r="807" ht="13" customHeight="1">
      <c r="B807" s="75" t="n"/>
      <c r="E807" s="75" t="n"/>
      <c r="G807" s="75" t="n"/>
      <c r="H807" s="28" t="n"/>
      <c r="J807" s="269" t="n"/>
      <c r="K807" s="270" t="n"/>
    </row>
    <row r="808" ht="13" customHeight="1">
      <c r="B808" s="75" t="n"/>
      <c r="E808" s="75" t="n"/>
      <c r="G808" s="75" t="n"/>
      <c r="H808" s="28" t="n"/>
      <c r="J808" s="269" t="n"/>
      <c r="K808" s="270" t="n"/>
    </row>
    <row r="809" ht="13" customHeight="1">
      <c r="B809" s="75" t="n"/>
      <c r="E809" s="75" t="n"/>
      <c r="G809" s="75" t="n"/>
      <c r="H809" s="28" t="n"/>
      <c r="J809" s="269" t="n"/>
      <c r="K809" s="270" t="n"/>
    </row>
    <row r="810" ht="13" customHeight="1">
      <c r="B810" s="75" t="n"/>
      <c r="E810" s="75" t="n"/>
      <c r="G810" s="75" t="n"/>
      <c r="H810" s="28" t="n"/>
      <c r="J810" s="269" t="n"/>
      <c r="K810" s="270" t="n"/>
    </row>
    <row r="811" ht="13" customHeight="1">
      <c r="B811" s="75" t="n"/>
      <c r="E811" s="75" t="n"/>
      <c r="G811" s="75" t="n"/>
      <c r="H811" s="28" t="n"/>
      <c r="J811" s="269" t="n"/>
      <c r="K811" s="270" t="n"/>
    </row>
    <row r="812" ht="13" customHeight="1">
      <c r="B812" s="75" t="n"/>
      <c r="E812" s="75" t="n"/>
      <c r="G812" s="75" t="n"/>
      <c r="H812" s="28" t="n"/>
      <c r="J812" s="269" t="n"/>
      <c r="K812" s="270" t="n"/>
    </row>
    <row r="813" ht="13" customHeight="1">
      <c r="B813" s="75" t="n"/>
      <c r="E813" s="75" t="n"/>
      <c r="G813" s="75" t="n"/>
      <c r="H813" s="28" t="n"/>
      <c r="J813" s="269" t="n"/>
      <c r="K813" s="270" t="n"/>
    </row>
    <row r="814" ht="13" customHeight="1">
      <c r="B814" s="75" t="n"/>
      <c r="E814" s="75" t="n"/>
      <c r="G814" s="75" t="n"/>
      <c r="H814" s="28" t="n"/>
      <c r="J814" s="269" t="n"/>
      <c r="K814" s="270" t="n"/>
    </row>
    <row r="815" ht="13" customHeight="1">
      <c r="B815" s="75" t="n"/>
      <c r="E815" s="75" t="n"/>
      <c r="G815" s="75" t="n"/>
      <c r="H815" s="28" t="n"/>
      <c r="J815" s="269" t="n"/>
      <c r="K815" s="270" t="n"/>
    </row>
    <row r="816" ht="13" customHeight="1">
      <c r="B816" s="75" t="n"/>
      <c r="E816" s="75" t="n"/>
      <c r="G816" s="75" t="n"/>
      <c r="H816" s="28" t="n"/>
      <c r="J816" s="269" t="n"/>
      <c r="K816" s="270" t="n"/>
    </row>
    <row r="817" ht="13" customHeight="1">
      <c r="B817" s="75" t="n"/>
      <c r="E817" s="75" t="n"/>
      <c r="G817" s="75" t="n"/>
      <c r="H817" s="28" t="n"/>
      <c r="J817" s="269" t="n"/>
      <c r="K817" s="270" t="n"/>
    </row>
    <row r="818" ht="13" customHeight="1">
      <c r="B818" s="75" t="n"/>
      <c r="E818" s="75" t="n"/>
      <c r="G818" s="75" t="n"/>
      <c r="H818" s="28" t="n"/>
      <c r="J818" s="269" t="n"/>
      <c r="K818" s="270" t="n"/>
    </row>
    <row r="819" ht="13" customHeight="1">
      <c r="B819" s="75" t="n"/>
      <c r="E819" s="75" t="n"/>
      <c r="G819" s="75" t="n"/>
      <c r="H819" s="28" t="n"/>
      <c r="J819" s="269" t="n"/>
      <c r="K819" s="270" t="n"/>
    </row>
    <row r="820" ht="13" customHeight="1">
      <c r="B820" s="75" t="n"/>
      <c r="E820" s="75" t="n"/>
      <c r="G820" s="75" t="n"/>
      <c r="H820" s="28" t="n"/>
      <c r="J820" s="269" t="n"/>
      <c r="K820" s="270" t="n"/>
    </row>
    <row r="821" ht="13" customHeight="1">
      <c r="B821" s="75" t="n"/>
      <c r="E821" s="75" t="n"/>
      <c r="G821" s="75" t="n"/>
      <c r="H821" s="28" t="n"/>
      <c r="J821" s="269" t="n"/>
      <c r="K821" s="270" t="n"/>
    </row>
    <row r="822" ht="13" customHeight="1">
      <c r="B822" s="75" t="n"/>
      <c r="E822" s="75" t="n"/>
      <c r="G822" s="75" t="n"/>
      <c r="H822" s="28" t="n"/>
      <c r="J822" s="269" t="n"/>
      <c r="K822" s="270" t="n"/>
    </row>
    <row r="823" ht="13" customHeight="1">
      <c r="B823" s="75" t="n"/>
      <c r="E823" s="75" t="n"/>
      <c r="G823" s="75" t="n"/>
      <c r="H823" s="28" t="n"/>
      <c r="J823" s="269" t="n"/>
      <c r="K823" s="270" t="n"/>
    </row>
    <row r="824" ht="13" customHeight="1">
      <c r="B824" s="75" t="n"/>
      <c r="E824" s="75" t="n"/>
      <c r="G824" s="75" t="n"/>
      <c r="H824" s="28" t="n"/>
      <c r="J824" s="269" t="n"/>
      <c r="K824" s="270" t="n"/>
    </row>
    <row r="825" ht="13" customHeight="1">
      <c r="B825" s="75" t="n"/>
      <c r="E825" s="75" t="n"/>
      <c r="G825" s="75" t="n"/>
      <c r="H825" s="28" t="n"/>
      <c r="J825" s="269" t="n"/>
      <c r="K825" s="270" t="n"/>
    </row>
    <row r="826" ht="13" customHeight="1">
      <c r="B826" s="75" t="n"/>
      <c r="E826" s="75" t="n"/>
      <c r="G826" s="75" t="n"/>
      <c r="H826" s="28" t="n"/>
      <c r="J826" s="269" t="n"/>
      <c r="K826" s="270" t="n"/>
    </row>
    <row r="827" ht="13" customHeight="1">
      <c r="B827" s="75" t="n"/>
      <c r="E827" s="75" t="n"/>
      <c r="G827" s="75" t="n"/>
      <c r="H827" s="28" t="n"/>
      <c r="J827" s="269" t="n"/>
      <c r="K827" s="270" t="n"/>
    </row>
    <row r="828" ht="13" customHeight="1">
      <c r="B828" s="75" t="n"/>
      <c r="E828" s="75" t="n"/>
      <c r="G828" s="75" t="n"/>
      <c r="H828" s="28" t="n"/>
      <c r="J828" s="269" t="n"/>
      <c r="K828" s="270" t="n"/>
    </row>
    <row r="829" ht="13" customHeight="1">
      <c r="B829" s="75" t="n"/>
      <c r="E829" s="75" t="n"/>
      <c r="G829" s="75" t="n"/>
      <c r="H829" s="28" t="n"/>
      <c r="J829" s="269" t="n"/>
      <c r="K829" s="270" t="n"/>
    </row>
    <row r="830" ht="13" customHeight="1">
      <c r="B830" s="75" t="n"/>
      <c r="E830" s="75" t="n"/>
      <c r="G830" s="75" t="n"/>
      <c r="H830" s="28" t="n"/>
      <c r="J830" s="269" t="n"/>
      <c r="K830" s="270" t="n"/>
    </row>
    <row r="831" ht="13" customHeight="1">
      <c r="B831" s="75" t="n"/>
      <c r="E831" s="75" t="n"/>
      <c r="G831" s="75" t="n"/>
      <c r="H831" s="28" t="n"/>
      <c r="J831" s="269" t="n"/>
      <c r="K831" s="270" t="n"/>
    </row>
    <row r="832" ht="13" customHeight="1">
      <c r="B832" s="75" t="n"/>
      <c r="E832" s="75" t="n"/>
      <c r="G832" s="75" t="n"/>
      <c r="H832" s="28" t="n"/>
      <c r="J832" s="269" t="n"/>
      <c r="K832" s="270" t="n"/>
    </row>
    <row r="833" ht="13" customHeight="1">
      <c r="B833" s="75" t="n"/>
      <c r="E833" s="75" t="n"/>
      <c r="G833" s="75" t="n"/>
      <c r="H833" s="28" t="n"/>
      <c r="J833" s="269" t="n"/>
      <c r="K833" s="270" t="n"/>
    </row>
    <row r="834" ht="13" customHeight="1">
      <c r="B834" s="75" t="n"/>
      <c r="E834" s="75" t="n"/>
      <c r="G834" s="75" t="n"/>
      <c r="H834" s="28" t="n"/>
      <c r="J834" s="269" t="n"/>
      <c r="K834" s="270" t="n"/>
    </row>
    <row r="835" ht="13" customHeight="1">
      <c r="B835" s="75" t="n"/>
      <c r="E835" s="75" t="n"/>
      <c r="G835" s="75" t="n"/>
      <c r="H835" s="28" t="n"/>
      <c r="J835" s="269" t="n"/>
      <c r="K835" s="270" t="n"/>
    </row>
    <row r="836" ht="13" customHeight="1">
      <c r="B836" s="75" t="n"/>
      <c r="E836" s="75" t="n"/>
      <c r="G836" s="75" t="n"/>
      <c r="H836" s="28" t="n"/>
      <c r="J836" s="269" t="n"/>
      <c r="K836" s="270" t="n"/>
    </row>
    <row r="837" ht="13" customHeight="1">
      <c r="B837" s="75" t="n"/>
      <c r="E837" s="75" t="n"/>
      <c r="G837" s="75" t="n"/>
      <c r="H837" s="28" t="n"/>
      <c r="J837" s="269" t="n"/>
      <c r="K837" s="270" t="n"/>
    </row>
    <row r="838" ht="13" customHeight="1">
      <c r="B838" s="75" t="n"/>
      <c r="E838" s="75" t="n"/>
      <c r="G838" s="75" t="n"/>
      <c r="H838" s="28" t="n"/>
      <c r="J838" s="269" t="n"/>
      <c r="K838" s="270" t="n"/>
    </row>
    <row r="839" ht="13" customHeight="1">
      <c r="B839" s="75" t="n"/>
      <c r="E839" s="75" t="n"/>
      <c r="G839" s="75" t="n"/>
      <c r="H839" s="28" t="n"/>
      <c r="J839" s="269" t="n"/>
      <c r="K839" s="270" t="n"/>
    </row>
    <row r="840" ht="13" customHeight="1">
      <c r="B840" s="75" t="n"/>
      <c r="E840" s="75" t="n"/>
      <c r="G840" s="75" t="n"/>
      <c r="H840" s="28" t="n"/>
      <c r="J840" s="269" t="n"/>
      <c r="K840" s="270" t="n"/>
    </row>
    <row r="841" ht="13" customHeight="1">
      <c r="B841" s="75" t="n"/>
      <c r="E841" s="75" t="n"/>
      <c r="G841" s="75" t="n"/>
      <c r="H841" s="28" t="n"/>
      <c r="J841" s="269" t="n"/>
      <c r="K841" s="270" t="n"/>
    </row>
    <row r="842" ht="13" customHeight="1">
      <c r="B842" s="75" t="n"/>
      <c r="E842" s="75" t="n"/>
      <c r="G842" s="75" t="n"/>
      <c r="H842" s="28" t="n"/>
      <c r="J842" s="269" t="n"/>
      <c r="K842" s="270" t="n"/>
    </row>
    <row r="843" ht="13" customHeight="1">
      <c r="B843" s="75" t="n"/>
      <c r="E843" s="75" t="n"/>
      <c r="G843" s="75" t="n"/>
      <c r="H843" s="28" t="n"/>
      <c r="J843" s="269" t="n"/>
      <c r="K843" s="270" t="n"/>
    </row>
    <row r="844" ht="13" customHeight="1">
      <c r="B844" s="75" t="n"/>
      <c r="E844" s="75" t="n"/>
      <c r="G844" s="75" t="n"/>
      <c r="H844" s="28" t="n"/>
      <c r="J844" s="269" t="n"/>
      <c r="K844" s="270" t="n"/>
    </row>
    <row r="845" ht="13" customHeight="1">
      <c r="B845" s="75" t="n"/>
      <c r="E845" s="75" t="n"/>
      <c r="G845" s="75" t="n"/>
      <c r="H845" s="28" t="n"/>
      <c r="J845" s="269" t="n"/>
      <c r="K845" s="270" t="n"/>
    </row>
    <row r="846" ht="13" customHeight="1">
      <c r="B846" s="75" t="n"/>
      <c r="E846" s="75" t="n"/>
      <c r="G846" s="75" t="n"/>
      <c r="H846" s="28" t="n"/>
      <c r="J846" s="269" t="n"/>
      <c r="K846" s="270" t="n"/>
    </row>
    <row r="847" ht="13" customHeight="1">
      <c r="B847" s="75" t="n"/>
      <c r="E847" s="75" t="n"/>
      <c r="G847" s="75" t="n"/>
      <c r="H847" s="28" t="n"/>
      <c r="J847" s="269" t="n"/>
      <c r="K847" s="270" t="n"/>
    </row>
    <row r="848" ht="13" customHeight="1">
      <c r="B848" s="75" t="n"/>
      <c r="E848" s="75" t="n"/>
      <c r="G848" s="75" t="n"/>
      <c r="H848" s="28" t="n"/>
      <c r="J848" s="269" t="n"/>
      <c r="K848" s="270" t="n"/>
    </row>
    <row r="849" ht="13" customHeight="1">
      <c r="B849" s="75" t="n"/>
      <c r="E849" s="75" t="n"/>
      <c r="G849" s="75" t="n"/>
      <c r="H849" s="28" t="n"/>
      <c r="J849" s="269" t="n"/>
      <c r="K849" s="270" t="n"/>
    </row>
    <row r="850" ht="13" customHeight="1">
      <c r="B850" s="75" t="n"/>
      <c r="E850" s="75" t="n"/>
      <c r="G850" s="75" t="n"/>
      <c r="H850" s="28" t="n"/>
      <c r="J850" s="269" t="n"/>
      <c r="K850" s="270" t="n"/>
    </row>
    <row r="851" ht="13" customHeight="1">
      <c r="B851" s="75" t="n"/>
      <c r="E851" s="75" t="n"/>
      <c r="G851" s="75" t="n"/>
      <c r="H851" s="28" t="n"/>
      <c r="J851" s="269" t="n"/>
      <c r="K851" s="270" t="n"/>
    </row>
    <row r="852" ht="13" customHeight="1">
      <c r="B852" s="75" t="n"/>
      <c r="E852" s="75" t="n"/>
      <c r="G852" s="75" t="n"/>
      <c r="H852" s="28" t="n"/>
      <c r="J852" s="269" t="n"/>
      <c r="K852" s="270" t="n"/>
    </row>
    <row r="853" ht="13" customHeight="1">
      <c r="B853" s="75" t="n"/>
      <c r="E853" s="75" t="n"/>
      <c r="G853" s="75" t="n"/>
      <c r="H853" s="28" t="n"/>
      <c r="J853" s="269" t="n"/>
      <c r="K853" s="270" t="n"/>
    </row>
    <row r="854" ht="13" customHeight="1">
      <c r="B854" s="75" t="n"/>
      <c r="E854" s="75" t="n"/>
      <c r="G854" s="75" t="n"/>
      <c r="H854" s="28" t="n"/>
      <c r="J854" s="269" t="n"/>
      <c r="K854" s="270" t="n"/>
    </row>
    <row r="855" ht="13" customHeight="1">
      <c r="B855" s="75" t="n"/>
      <c r="E855" s="75" t="n"/>
      <c r="G855" s="75" t="n"/>
      <c r="H855" s="28" t="n"/>
      <c r="J855" s="269" t="n"/>
      <c r="K855" s="270" t="n"/>
    </row>
    <row r="856" ht="13" customHeight="1">
      <c r="B856" s="75" t="n"/>
      <c r="E856" s="75" t="n"/>
      <c r="G856" s="75" t="n"/>
      <c r="H856" s="28" t="n"/>
      <c r="J856" s="269" t="n"/>
      <c r="K856" s="270" t="n"/>
    </row>
    <row r="857" ht="13" customHeight="1">
      <c r="B857" s="75" t="n"/>
      <c r="E857" s="75" t="n"/>
      <c r="G857" s="75" t="n"/>
      <c r="H857" s="28" t="n"/>
      <c r="J857" s="269" t="n"/>
      <c r="K857" s="270" t="n"/>
    </row>
    <row r="858" ht="13" customHeight="1">
      <c r="B858" s="75" t="n"/>
      <c r="E858" s="75" t="n"/>
      <c r="G858" s="75" t="n"/>
      <c r="H858" s="28" t="n"/>
      <c r="J858" s="269" t="n"/>
      <c r="K858" s="270" t="n"/>
    </row>
    <row r="859" ht="13" customHeight="1">
      <c r="B859" s="75" t="n"/>
      <c r="E859" s="75" t="n"/>
      <c r="G859" s="75" t="n"/>
      <c r="H859" s="28" t="n"/>
      <c r="J859" s="269" t="n"/>
      <c r="K859" s="270" t="n"/>
    </row>
    <row r="860" ht="13" customHeight="1">
      <c r="B860" s="75" t="n"/>
      <c r="E860" s="75" t="n"/>
      <c r="G860" s="75" t="n"/>
      <c r="H860" s="28" t="n"/>
      <c r="J860" s="269" t="n"/>
      <c r="K860" s="270" t="n"/>
    </row>
    <row r="861" ht="13" customHeight="1">
      <c r="B861" s="75" t="n"/>
      <c r="E861" s="75" t="n"/>
      <c r="G861" s="75" t="n"/>
      <c r="H861" s="28" t="n"/>
      <c r="J861" s="269" t="n"/>
      <c r="K861" s="270" t="n"/>
    </row>
    <row r="862" ht="13" customHeight="1">
      <c r="B862" s="75" t="n"/>
      <c r="E862" s="75" t="n"/>
      <c r="G862" s="75" t="n"/>
      <c r="H862" s="28" t="n"/>
      <c r="J862" s="269" t="n"/>
      <c r="K862" s="270" t="n"/>
    </row>
    <row r="863" ht="13" customHeight="1">
      <c r="B863" s="75" t="n"/>
      <c r="E863" s="75" t="n"/>
      <c r="G863" s="75" t="n"/>
      <c r="H863" s="28" t="n"/>
      <c r="J863" s="269" t="n"/>
      <c r="K863" s="270" t="n"/>
    </row>
    <row r="864" ht="13" customHeight="1">
      <c r="B864" s="75" t="n"/>
      <c r="E864" s="75" t="n"/>
      <c r="G864" s="75" t="n"/>
      <c r="H864" s="28" t="n"/>
      <c r="J864" s="269" t="n"/>
      <c r="K864" s="270" t="n"/>
    </row>
    <row r="865" ht="13" customHeight="1">
      <c r="B865" s="75" t="n"/>
      <c r="E865" s="75" t="n"/>
      <c r="G865" s="75" t="n"/>
      <c r="H865" s="28" t="n"/>
      <c r="J865" s="269" t="n"/>
      <c r="K865" s="270" t="n"/>
    </row>
    <row r="866" ht="13" customHeight="1">
      <c r="B866" s="75" t="n"/>
      <c r="E866" s="75" t="n"/>
      <c r="G866" s="75" t="n"/>
      <c r="H866" s="28" t="n"/>
      <c r="J866" s="269" t="n"/>
      <c r="K866" s="270" t="n"/>
    </row>
    <row r="867" ht="13" customHeight="1">
      <c r="B867" s="75" t="n"/>
      <c r="E867" s="75" t="n"/>
      <c r="G867" s="75" t="n"/>
      <c r="H867" s="28" t="n"/>
      <c r="J867" s="269" t="n"/>
      <c r="K867" s="270" t="n"/>
    </row>
    <row r="868" ht="13" customHeight="1">
      <c r="B868" s="75" t="n"/>
      <c r="E868" s="75" t="n"/>
      <c r="G868" s="75" t="n"/>
      <c r="H868" s="28" t="n"/>
      <c r="J868" s="269" t="n"/>
      <c r="K868" s="270" t="n"/>
    </row>
    <row r="869" ht="13" customHeight="1">
      <c r="B869" s="75" t="n"/>
      <c r="E869" s="75" t="n"/>
      <c r="G869" s="75" t="n"/>
      <c r="H869" s="28" t="n"/>
      <c r="J869" s="269" t="n"/>
      <c r="K869" s="270" t="n"/>
    </row>
    <row r="870" ht="13" customHeight="1">
      <c r="B870" s="75" t="n"/>
      <c r="E870" s="75" t="n"/>
      <c r="G870" s="75" t="n"/>
      <c r="H870" s="28" t="n"/>
      <c r="J870" s="269" t="n"/>
      <c r="K870" s="270" t="n"/>
    </row>
    <row r="871" ht="13" customHeight="1">
      <c r="B871" s="75" t="n"/>
      <c r="E871" s="75" t="n"/>
      <c r="G871" s="75" t="n"/>
      <c r="H871" s="28" t="n"/>
      <c r="J871" s="269" t="n"/>
      <c r="K871" s="270" t="n"/>
    </row>
    <row r="872" ht="13" customHeight="1">
      <c r="B872" s="75" t="n"/>
      <c r="E872" s="75" t="n"/>
      <c r="G872" s="75" t="n"/>
      <c r="H872" s="28" t="n"/>
      <c r="J872" s="269" t="n"/>
      <c r="K872" s="270" t="n"/>
    </row>
    <row r="873" ht="13" customHeight="1">
      <c r="B873" s="75" t="n"/>
      <c r="E873" s="75" t="n"/>
      <c r="G873" s="75" t="n"/>
      <c r="H873" s="28" t="n"/>
      <c r="J873" s="269" t="n"/>
      <c r="K873" s="270" t="n"/>
    </row>
    <row r="874" ht="13" customHeight="1">
      <c r="B874" s="75" t="n"/>
      <c r="E874" s="75" t="n"/>
      <c r="G874" s="75" t="n"/>
      <c r="H874" s="28" t="n"/>
      <c r="J874" s="269" t="n"/>
      <c r="K874" s="270" t="n"/>
    </row>
    <row r="875" ht="13" customHeight="1">
      <c r="B875" s="75" t="n"/>
      <c r="E875" s="75" t="n"/>
      <c r="G875" s="75" t="n"/>
      <c r="H875" s="28" t="n"/>
      <c r="J875" s="269" t="n"/>
      <c r="K875" s="270" t="n"/>
    </row>
    <row r="876" ht="13" customHeight="1">
      <c r="B876" s="75" t="n"/>
      <c r="E876" s="75" t="n"/>
      <c r="G876" s="75" t="n"/>
      <c r="H876" s="28" t="n"/>
      <c r="J876" s="269" t="n"/>
      <c r="K876" s="270" t="n"/>
    </row>
    <row r="877" ht="13" customHeight="1">
      <c r="B877" s="75" t="n"/>
      <c r="E877" s="75" t="n"/>
      <c r="G877" s="75" t="n"/>
      <c r="H877" s="28" t="n"/>
      <c r="J877" s="269" t="n"/>
      <c r="K877" s="270" t="n"/>
    </row>
    <row r="878" ht="13" customHeight="1">
      <c r="B878" s="75" t="n"/>
      <c r="E878" s="75" t="n"/>
      <c r="G878" s="75" t="n"/>
      <c r="H878" s="28" t="n"/>
      <c r="J878" s="269" t="n"/>
      <c r="K878" s="270" t="n"/>
    </row>
    <row r="879" ht="13" customHeight="1">
      <c r="B879" s="75" t="n"/>
      <c r="E879" s="75" t="n"/>
      <c r="G879" s="75" t="n"/>
      <c r="H879" s="28" t="n"/>
      <c r="J879" s="269" t="n"/>
      <c r="K879" s="270" t="n"/>
    </row>
    <row r="880" ht="13" customHeight="1">
      <c r="B880" s="75" t="n"/>
      <c r="E880" s="75" t="n"/>
      <c r="G880" s="75" t="n"/>
      <c r="H880" s="28" t="n"/>
      <c r="J880" s="269" t="n"/>
      <c r="K880" s="270" t="n"/>
    </row>
    <row r="881" ht="13" customHeight="1">
      <c r="B881" s="75" t="n"/>
      <c r="E881" s="75" t="n"/>
      <c r="G881" s="75" t="n"/>
      <c r="H881" s="28" t="n"/>
      <c r="J881" s="269" t="n"/>
      <c r="K881" s="270" t="n"/>
    </row>
    <row r="882" ht="13" customHeight="1">
      <c r="B882" s="75" t="n"/>
      <c r="E882" s="75" t="n"/>
      <c r="G882" s="75" t="n"/>
      <c r="H882" s="28" t="n"/>
      <c r="J882" s="269" t="n"/>
      <c r="K882" s="270" t="n"/>
    </row>
    <row r="883" ht="13" customHeight="1">
      <c r="B883" s="75" t="n"/>
      <c r="E883" s="75" t="n"/>
      <c r="G883" s="75" t="n"/>
      <c r="H883" s="28" t="n"/>
      <c r="J883" s="269" t="n"/>
      <c r="K883" s="270" t="n"/>
    </row>
    <row r="884" ht="13" customHeight="1">
      <c r="B884" s="75" t="n"/>
      <c r="E884" s="75" t="n"/>
      <c r="G884" s="75" t="n"/>
      <c r="H884" s="28" t="n"/>
      <c r="J884" s="269" t="n"/>
      <c r="K884" s="270" t="n"/>
    </row>
    <row r="885" ht="13" customHeight="1">
      <c r="B885" s="75" t="n"/>
      <c r="E885" s="75" t="n"/>
      <c r="G885" s="75" t="n"/>
      <c r="H885" s="28" t="n"/>
      <c r="J885" s="269" t="n"/>
      <c r="K885" s="270" t="n"/>
    </row>
    <row r="886" ht="13" customHeight="1">
      <c r="B886" s="75" t="n"/>
      <c r="E886" s="75" t="n"/>
      <c r="G886" s="75" t="n"/>
      <c r="H886" s="28" t="n"/>
      <c r="J886" s="269" t="n"/>
      <c r="K886" s="270" t="n"/>
    </row>
    <row r="887" ht="13" customHeight="1">
      <c r="B887" s="75" t="n"/>
      <c r="E887" s="75" t="n"/>
      <c r="G887" s="75" t="n"/>
      <c r="H887" s="28" t="n"/>
      <c r="J887" s="269" t="n"/>
      <c r="K887" s="270" t="n"/>
    </row>
    <row r="888" ht="13" customHeight="1">
      <c r="B888" s="75" t="n"/>
      <c r="E888" s="75" t="n"/>
      <c r="G888" s="75" t="n"/>
      <c r="H888" s="28" t="n"/>
      <c r="J888" s="269" t="n"/>
      <c r="K888" s="270" t="n"/>
    </row>
    <row r="889" ht="13" customHeight="1">
      <c r="B889" s="75" t="n"/>
      <c r="E889" s="75" t="n"/>
      <c r="G889" s="75" t="n"/>
      <c r="H889" s="28" t="n"/>
      <c r="J889" s="269" t="n"/>
      <c r="K889" s="270" t="n"/>
    </row>
    <row r="890" ht="13" customHeight="1">
      <c r="B890" s="75" t="n"/>
      <c r="E890" s="75" t="n"/>
      <c r="G890" s="75" t="n"/>
      <c r="H890" s="28" t="n"/>
      <c r="J890" s="269" t="n"/>
      <c r="K890" s="270" t="n"/>
    </row>
    <row r="891" ht="13" customHeight="1">
      <c r="B891" s="75" t="n"/>
      <c r="E891" s="75" t="n"/>
      <c r="G891" s="75" t="n"/>
      <c r="H891" s="28" t="n"/>
      <c r="J891" s="269" t="n"/>
      <c r="K891" s="270" t="n"/>
    </row>
    <row r="892" ht="13" customHeight="1">
      <c r="B892" s="75" t="n"/>
      <c r="E892" s="75" t="n"/>
      <c r="G892" s="75" t="n"/>
      <c r="H892" s="28" t="n"/>
      <c r="J892" s="269" t="n"/>
      <c r="K892" s="270" t="n"/>
    </row>
    <row r="893" ht="13" customHeight="1">
      <c r="B893" s="75" t="n"/>
      <c r="E893" s="75" t="n"/>
      <c r="G893" s="75" t="n"/>
      <c r="H893" s="28" t="n"/>
      <c r="J893" s="269" t="n"/>
      <c r="K893" s="270" t="n"/>
    </row>
    <row r="894" ht="13" customHeight="1">
      <c r="B894" s="75" t="n"/>
      <c r="E894" s="75" t="n"/>
      <c r="G894" s="75" t="n"/>
      <c r="H894" s="28" t="n"/>
      <c r="J894" s="269" t="n"/>
      <c r="K894" s="270" t="n"/>
    </row>
    <row r="895" ht="13" customHeight="1">
      <c r="B895" s="75" t="n"/>
      <c r="E895" s="75" t="n"/>
      <c r="G895" s="75" t="n"/>
      <c r="H895" s="28" t="n"/>
      <c r="J895" s="269" t="n"/>
      <c r="K895" s="270" t="n"/>
    </row>
    <row r="896" ht="13" customHeight="1">
      <c r="B896" s="75" t="n"/>
      <c r="E896" s="75" t="n"/>
      <c r="G896" s="75" t="n"/>
      <c r="H896" s="28" t="n"/>
      <c r="J896" s="269" t="n"/>
      <c r="K896" s="270" t="n"/>
    </row>
    <row r="897" ht="13" customHeight="1">
      <c r="B897" s="75" t="n"/>
      <c r="E897" s="75" t="n"/>
      <c r="G897" s="75" t="n"/>
      <c r="H897" s="28" t="n"/>
      <c r="J897" s="269" t="n"/>
      <c r="K897" s="270" t="n"/>
    </row>
    <row r="898" ht="13" customHeight="1">
      <c r="B898" s="75" t="n"/>
      <c r="E898" s="75" t="n"/>
      <c r="G898" s="75" t="n"/>
      <c r="H898" s="28" t="n"/>
      <c r="J898" s="269" t="n"/>
      <c r="K898" s="270" t="n"/>
    </row>
    <row r="899" ht="13" customHeight="1">
      <c r="B899" s="75" t="n"/>
      <c r="E899" s="75" t="n"/>
      <c r="G899" s="75" t="n"/>
      <c r="H899" s="28" t="n"/>
      <c r="J899" s="269" t="n"/>
      <c r="K899" s="270" t="n"/>
    </row>
    <row r="900" ht="13" customHeight="1">
      <c r="B900" s="75" t="n"/>
      <c r="E900" s="75" t="n"/>
      <c r="G900" s="75" t="n"/>
      <c r="H900" s="28" t="n"/>
      <c r="J900" s="269" t="n"/>
      <c r="K900" s="270" t="n"/>
    </row>
    <row r="901" ht="13" customHeight="1">
      <c r="B901" s="75" t="n"/>
      <c r="E901" s="75" t="n"/>
      <c r="G901" s="75" t="n"/>
      <c r="H901" s="28" t="n"/>
      <c r="J901" s="269" t="n"/>
      <c r="K901" s="270" t="n"/>
    </row>
    <row r="902" ht="13" customHeight="1">
      <c r="B902" s="75" t="n"/>
      <c r="E902" s="75" t="n"/>
      <c r="G902" s="75" t="n"/>
      <c r="H902" s="28" t="n"/>
      <c r="J902" s="269" t="n"/>
      <c r="K902" s="270" t="n"/>
    </row>
    <row r="903" ht="13" customHeight="1">
      <c r="B903" s="75" t="n"/>
      <c r="E903" s="75" t="n"/>
      <c r="G903" s="75" t="n"/>
      <c r="H903" s="28" t="n"/>
      <c r="J903" s="269" t="n"/>
      <c r="K903" s="270" t="n"/>
    </row>
    <row r="904" ht="13" customHeight="1">
      <c r="B904" s="75" t="n"/>
      <c r="E904" s="75" t="n"/>
      <c r="G904" s="75" t="n"/>
      <c r="H904" s="28" t="n"/>
      <c r="J904" s="269" t="n"/>
      <c r="K904" s="270" t="n"/>
    </row>
    <row r="905" ht="13" customHeight="1">
      <c r="B905" s="75" t="n"/>
      <c r="E905" s="75" t="n"/>
      <c r="G905" s="75" t="n"/>
      <c r="H905" s="28" t="n"/>
      <c r="J905" s="269" t="n"/>
      <c r="K905" s="270" t="n"/>
    </row>
    <row r="906" ht="13" customHeight="1">
      <c r="B906" s="75" t="n"/>
      <c r="E906" s="75" t="n"/>
      <c r="G906" s="75" t="n"/>
      <c r="H906" s="28" t="n"/>
      <c r="J906" s="269" t="n"/>
      <c r="K906" s="270" t="n"/>
    </row>
    <row r="907" ht="13" customHeight="1">
      <c r="B907" s="75" t="n"/>
      <c r="E907" s="75" t="n"/>
      <c r="G907" s="75" t="n"/>
      <c r="H907" s="28" t="n"/>
      <c r="J907" s="269" t="n"/>
      <c r="K907" s="270" t="n"/>
    </row>
    <row r="908" ht="13" customHeight="1">
      <c r="B908" s="75" t="n"/>
      <c r="E908" s="75" t="n"/>
      <c r="G908" s="75" t="n"/>
      <c r="H908" s="28" t="n"/>
      <c r="J908" s="269" t="n"/>
      <c r="K908" s="270" t="n"/>
    </row>
    <row r="909" ht="13" customHeight="1">
      <c r="B909" s="75" t="n"/>
      <c r="E909" s="75" t="n"/>
      <c r="G909" s="75" t="n"/>
      <c r="H909" s="28" t="n"/>
      <c r="J909" s="269" t="n"/>
      <c r="K909" s="270" t="n"/>
    </row>
    <row r="910" ht="13" customHeight="1">
      <c r="B910" s="75" t="n"/>
      <c r="E910" s="75" t="n"/>
      <c r="G910" s="75" t="n"/>
      <c r="H910" s="28" t="n"/>
      <c r="J910" s="269" t="n"/>
      <c r="K910" s="270" t="n"/>
    </row>
    <row r="911" ht="13" customHeight="1">
      <c r="B911" s="75" t="n"/>
      <c r="E911" s="75" t="n"/>
      <c r="G911" s="75" t="n"/>
      <c r="H911" s="28" t="n"/>
      <c r="J911" s="269" t="n"/>
      <c r="K911" s="270" t="n"/>
    </row>
    <row r="912" ht="13" customHeight="1">
      <c r="B912" s="75" t="n"/>
      <c r="E912" s="75" t="n"/>
      <c r="G912" s="75" t="n"/>
      <c r="H912" s="28" t="n"/>
      <c r="J912" s="269" t="n"/>
      <c r="K912" s="270" t="n"/>
    </row>
    <row r="913" ht="13" customHeight="1">
      <c r="B913" s="75" t="n"/>
      <c r="E913" s="75" t="n"/>
      <c r="G913" s="75" t="n"/>
      <c r="H913" s="28" t="n"/>
      <c r="J913" s="269" t="n"/>
      <c r="K913" s="270" t="n"/>
    </row>
    <row r="914" ht="13" customHeight="1">
      <c r="B914" s="75" t="n"/>
      <c r="E914" s="75" t="n"/>
      <c r="G914" s="75" t="n"/>
      <c r="H914" s="28" t="n"/>
      <c r="J914" s="269" t="n"/>
      <c r="K914" s="270" t="n"/>
    </row>
    <row r="915" ht="13" customHeight="1">
      <c r="B915" s="75" t="n"/>
      <c r="E915" s="75" t="n"/>
      <c r="G915" s="75" t="n"/>
      <c r="H915" s="28" t="n"/>
      <c r="J915" s="269" t="n"/>
      <c r="K915" s="270" t="n"/>
    </row>
    <row r="916" ht="13" customHeight="1">
      <c r="B916" s="75" t="n"/>
      <c r="E916" s="75" t="n"/>
      <c r="G916" s="75" t="n"/>
      <c r="H916" s="28" t="n"/>
      <c r="J916" s="269" t="n"/>
      <c r="K916" s="270" t="n"/>
    </row>
    <row r="917" ht="13" customHeight="1">
      <c r="B917" s="75" t="n"/>
      <c r="E917" s="75" t="n"/>
      <c r="G917" s="75" t="n"/>
      <c r="H917" s="28" t="n"/>
      <c r="J917" s="269" t="n"/>
      <c r="K917" s="270" t="n"/>
    </row>
    <row r="918" ht="13" customHeight="1">
      <c r="B918" s="75" t="n"/>
      <c r="E918" s="75" t="n"/>
      <c r="G918" s="75" t="n"/>
      <c r="H918" s="28" t="n"/>
      <c r="J918" s="269" t="n"/>
      <c r="K918" s="270" t="n"/>
    </row>
    <row r="919" ht="13" customHeight="1">
      <c r="B919" s="75" t="n"/>
      <c r="E919" s="75" t="n"/>
      <c r="G919" s="75" t="n"/>
      <c r="H919" s="28" t="n"/>
      <c r="J919" s="269" t="n"/>
      <c r="K919" s="270" t="n"/>
    </row>
    <row r="920" ht="13" customHeight="1">
      <c r="B920" s="75" t="n"/>
      <c r="E920" s="75" t="n"/>
      <c r="G920" s="75" t="n"/>
      <c r="H920" s="28" t="n"/>
      <c r="J920" s="269" t="n"/>
      <c r="K920" s="270" t="n"/>
    </row>
    <row r="921" ht="13" customHeight="1">
      <c r="B921" s="75" t="n"/>
      <c r="E921" s="75" t="n"/>
      <c r="G921" s="75" t="n"/>
      <c r="H921" s="28" t="n"/>
      <c r="J921" s="269" t="n"/>
      <c r="K921" s="270" t="n"/>
    </row>
    <row r="922" ht="13" customHeight="1">
      <c r="B922" s="75" t="n"/>
      <c r="E922" s="75" t="n"/>
      <c r="G922" s="75" t="n"/>
      <c r="H922" s="28" t="n"/>
      <c r="J922" s="269" t="n"/>
      <c r="K922" s="270" t="n"/>
    </row>
    <row r="923" ht="13" customHeight="1">
      <c r="B923" s="75" t="n"/>
      <c r="E923" s="75" t="n"/>
      <c r="G923" s="75" t="n"/>
      <c r="H923" s="28" t="n"/>
      <c r="J923" s="269" t="n"/>
      <c r="K923" s="270" t="n"/>
    </row>
    <row r="924" ht="13" customHeight="1">
      <c r="B924" s="75" t="n"/>
      <c r="E924" s="75" t="n"/>
      <c r="G924" s="75" t="n"/>
      <c r="H924" s="28" t="n"/>
      <c r="J924" s="269" t="n"/>
      <c r="K924" s="270" t="n"/>
    </row>
    <row r="925" ht="13" customHeight="1">
      <c r="B925" s="75" t="n"/>
      <c r="E925" s="75" t="n"/>
      <c r="G925" s="75" t="n"/>
      <c r="H925" s="28" t="n"/>
      <c r="J925" s="269" t="n"/>
      <c r="K925" s="270" t="n"/>
    </row>
    <row r="926" ht="13" customHeight="1">
      <c r="B926" s="75" t="n"/>
      <c r="E926" s="75" t="n"/>
      <c r="G926" s="75" t="n"/>
      <c r="H926" s="28" t="n"/>
      <c r="J926" s="269" t="n"/>
      <c r="K926" s="270" t="n"/>
    </row>
    <row r="927" ht="13" customHeight="1">
      <c r="B927" s="75" t="n"/>
      <c r="E927" s="75" t="n"/>
      <c r="G927" s="75" t="n"/>
      <c r="H927" s="28" t="n"/>
      <c r="J927" s="269" t="n"/>
      <c r="K927" s="270" t="n"/>
    </row>
    <row r="928" ht="13" customHeight="1">
      <c r="B928" s="75" t="n"/>
      <c r="E928" s="75" t="n"/>
      <c r="G928" s="75" t="n"/>
      <c r="H928" s="28" t="n"/>
      <c r="J928" s="269" t="n"/>
      <c r="K928" s="270" t="n"/>
    </row>
    <row r="929" ht="13" customHeight="1">
      <c r="B929" s="75" t="n"/>
      <c r="E929" s="75" t="n"/>
      <c r="G929" s="75" t="n"/>
      <c r="H929" s="28" t="n"/>
      <c r="J929" s="269" t="n"/>
      <c r="K929" s="270" t="n"/>
    </row>
    <row r="930" ht="13" customHeight="1">
      <c r="B930" s="75" t="n"/>
      <c r="E930" s="75" t="n"/>
      <c r="G930" s="75" t="n"/>
      <c r="H930" s="28" t="n"/>
      <c r="J930" s="269" t="n"/>
      <c r="K930" s="270" t="n"/>
    </row>
    <row r="931" ht="13" customHeight="1">
      <c r="B931" s="75" t="n"/>
      <c r="E931" s="75" t="n"/>
      <c r="G931" s="75" t="n"/>
      <c r="H931" s="28" t="n"/>
      <c r="J931" s="269" t="n"/>
      <c r="K931" s="270" t="n"/>
    </row>
    <row r="932" ht="13" customHeight="1">
      <c r="B932" s="75" t="n"/>
      <c r="E932" s="75" t="n"/>
      <c r="G932" s="75" t="n"/>
      <c r="H932" s="28" t="n"/>
      <c r="J932" s="269" t="n"/>
      <c r="K932" s="270" t="n"/>
    </row>
    <row r="933" ht="13" customHeight="1">
      <c r="B933" s="75" t="n"/>
      <c r="E933" s="75" t="n"/>
      <c r="G933" s="75" t="n"/>
      <c r="H933" s="28" t="n"/>
      <c r="J933" s="269" t="n"/>
      <c r="K933" s="270" t="n"/>
    </row>
    <row r="934" ht="13" customHeight="1">
      <c r="B934" s="75" t="n"/>
      <c r="E934" s="75" t="n"/>
      <c r="G934" s="75" t="n"/>
      <c r="H934" s="28" t="n"/>
      <c r="J934" s="269" t="n"/>
      <c r="K934" s="270" t="n"/>
    </row>
    <row r="935" ht="13" customHeight="1">
      <c r="B935" s="75" t="n"/>
      <c r="E935" s="75" t="n"/>
      <c r="G935" s="75" t="n"/>
      <c r="H935" s="28" t="n"/>
      <c r="J935" s="269" t="n"/>
      <c r="K935" s="270" t="n"/>
    </row>
    <row r="936" ht="13" customHeight="1">
      <c r="B936" s="75" t="n"/>
      <c r="E936" s="75" t="n"/>
      <c r="G936" s="75" t="n"/>
      <c r="H936" s="28" t="n"/>
      <c r="J936" s="269" t="n"/>
      <c r="K936" s="270" t="n"/>
    </row>
    <row r="937" ht="13" customHeight="1">
      <c r="B937" s="75" t="n"/>
      <c r="E937" s="75" t="n"/>
      <c r="G937" s="75" t="n"/>
      <c r="H937" s="28" t="n"/>
      <c r="J937" s="269" t="n"/>
      <c r="K937" s="270" t="n"/>
    </row>
    <row r="938" ht="13" customHeight="1">
      <c r="B938" s="75" t="n"/>
      <c r="E938" s="75" t="n"/>
      <c r="G938" s="75" t="n"/>
      <c r="H938" s="28" t="n"/>
      <c r="J938" s="269" t="n"/>
      <c r="K938" s="270" t="n"/>
    </row>
    <row r="939" ht="13" customHeight="1">
      <c r="B939" s="75" t="n"/>
      <c r="E939" s="75" t="n"/>
      <c r="G939" s="75" t="n"/>
      <c r="H939" s="28" t="n"/>
      <c r="J939" s="269" t="n"/>
      <c r="K939" s="270" t="n"/>
    </row>
    <row r="940" ht="13" customHeight="1">
      <c r="B940" s="75" t="n"/>
      <c r="E940" s="75" t="n"/>
      <c r="G940" s="75" t="n"/>
      <c r="H940" s="28" t="n"/>
      <c r="J940" s="269" t="n"/>
      <c r="K940" s="270" t="n"/>
    </row>
    <row r="941" ht="13" customHeight="1">
      <c r="B941" s="75" t="n"/>
      <c r="E941" s="75" t="n"/>
      <c r="G941" s="75" t="n"/>
      <c r="H941" s="28" t="n"/>
      <c r="J941" s="269" t="n"/>
      <c r="K941" s="270" t="n"/>
    </row>
    <row r="942" ht="13" customHeight="1">
      <c r="B942" s="75" t="n"/>
      <c r="E942" s="75" t="n"/>
      <c r="G942" s="75" t="n"/>
      <c r="H942" s="28" t="n"/>
      <c r="J942" s="269" t="n"/>
      <c r="K942" s="270" t="n"/>
    </row>
    <row r="943" ht="13" customHeight="1">
      <c r="B943" s="75" t="n"/>
      <c r="E943" s="75" t="n"/>
      <c r="G943" s="75" t="n"/>
      <c r="H943" s="28" t="n"/>
      <c r="J943" s="269" t="n"/>
      <c r="K943" s="270" t="n"/>
    </row>
    <row r="944" ht="13" customHeight="1">
      <c r="B944" s="75" t="n"/>
      <c r="E944" s="75" t="n"/>
      <c r="G944" s="75" t="n"/>
      <c r="H944" s="28" t="n"/>
      <c r="J944" s="269" t="n"/>
      <c r="K944" s="270" t="n"/>
    </row>
    <row r="945" ht="13" customHeight="1">
      <c r="B945" s="75" t="n"/>
      <c r="E945" s="75" t="n"/>
      <c r="G945" s="75" t="n"/>
      <c r="H945" s="28" t="n"/>
      <c r="J945" s="269" t="n"/>
      <c r="K945" s="270" t="n"/>
    </row>
    <row r="946" ht="13" customHeight="1">
      <c r="B946" s="75" t="n"/>
      <c r="E946" s="75" t="n"/>
      <c r="G946" s="75" t="n"/>
      <c r="H946" s="28" t="n"/>
      <c r="J946" s="269" t="n"/>
      <c r="K946" s="270" t="n"/>
    </row>
    <row r="947" ht="13" customHeight="1">
      <c r="B947" s="75" t="n"/>
      <c r="E947" s="75" t="n"/>
      <c r="G947" s="75" t="n"/>
      <c r="H947" s="28" t="n"/>
      <c r="J947" s="269" t="n"/>
      <c r="K947" s="270" t="n"/>
    </row>
    <row r="948" ht="13" customHeight="1">
      <c r="B948" s="75" t="n"/>
      <c r="E948" s="75" t="n"/>
      <c r="G948" s="75" t="n"/>
      <c r="H948" s="28" t="n"/>
      <c r="J948" s="269" t="n"/>
      <c r="K948" s="270" t="n"/>
    </row>
    <row r="949" ht="13" customHeight="1">
      <c r="B949" s="75" t="n"/>
      <c r="E949" s="75" t="n"/>
      <c r="G949" s="75" t="n"/>
      <c r="H949" s="28" t="n"/>
      <c r="J949" s="269" t="n"/>
      <c r="K949" s="270" t="n"/>
    </row>
    <row r="950" ht="13" customHeight="1">
      <c r="B950" s="75" t="n"/>
      <c r="E950" s="75" t="n"/>
      <c r="G950" s="75" t="n"/>
      <c r="H950" s="28" t="n"/>
      <c r="J950" s="269" t="n"/>
      <c r="K950" s="270" t="n"/>
    </row>
    <row r="951" ht="13" customHeight="1">
      <c r="B951" s="75" t="n"/>
      <c r="E951" s="75" t="n"/>
      <c r="G951" s="75" t="n"/>
      <c r="H951" s="28" t="n"/>
      <c r="J951" s="269" t="n"/>
      <c r="K951" s="270" t="n"/>
    </row>
    <row r="952" ht="13" customHeight="1">
      <c r="B952" s="75" t="n"/>
      <c r="E952" s="75" t="n"/>
      <c r="G952" s="75" t="n"/>
      <c r="H952" s="28" t="n"/>
      <c r="J952" s="269" t="n"/>
      <c r="K952" s="270" t="n"/>
    </row>
    <row r="953" ht="13" customHeight="1">
      <c r="B953" s="75" t="n"/>
      <c r="E953" s="75" t="n"/>
      <c r="G953" s="75" t="n"/>
      <c r="H953" s="28" t="n"/>
      <c r="J953" s="269" t="n"/>
      <c r="K953" s="270" t="n"/>
    </row>
    <row r="954" ht="13" customHeight="1">
      <c r="B954" s="75" t="n"/>
      <c r="E954" s="75" t="n"/>
      <c r="G954" s="75" t="n"/>
      <c r="H954" s="28" t="n"/>
      <c r="J954" s="269" t="n"/>
      <c r="K954" s="270" t="n"/>
    </row>
    <row r="955" ht="13" customHeight="1">
      <c r="B955" s="75" t="n"/>
      <c r="E955" s="75" t="n"/>
      <c r="G955" s="75" t="n"/>
      <c r="H955" s="28" t="n"/>
      <c r="J955" s="269" t="n"/>
      <c r="K955" s="270" t="n"/>
    </row>
    <row r="956" ht="13" customHeight="1">
      <c r="B956" s="75" t="n"/>
      <c r="E956" s="75" t="n"/>
      <c r="G956" s="75" t="n"/>
      <c r="H956" s="28" t="n"/>
      <c r="J956" s="269" t="n"/>
      <c r="K956" s="270" t="n"/>
    </row>
    <row r="957" ht="13" customHeight="1">
      <c r="B957" s="75" t="n"/>
      <c r="E957" s="75" t="n"/>
      <c r="G957" s="75" t="n"/>
      <c r="H957" s="28" t="n"/>
      <c r="J957" s="269" t="n"/>
      <c r="K957" s="270" t="n"/>
    </row>
    <row r="958" ht="13" customHeight="1">
      <c r="B958" s="75" t="n"/>
      <c r="E958" s="75" t="n"/>
      <c r="G958" s="75" t="n"/>
      <c r="H958" s="28" t="n"/>
      <c r="J958" s="269" t="n"/>
      <c r="K958" s="270" t="n"/>
    </row>
    <row r="959" ht="13" customHeight="1">
      <c r="B959" s="75" t="n"/>
      <c r="E959" s="75" t="n"/>
      <c r="G959" s="75" t="n"/>
      <c r="H959" s="28" t="n"/>
      <c r="J959" s="269" t="n"/>
      <c r="K959" s="270" t="n"/>
    </row>
    <row r="960" ht="13" customHeight="1">
      <c r="B960" s="75" t="n"/>
      <c r="E960" s="75" t="n"/>
      <c r="G960" s="75" t="n"/>
      <c r="H960" s="28" t="n"/>
      <c r="J960" s="269" t="n"/>
      <c r="K960" s="270" t="n"/>
    </row>
    <row r="961" ht="13" customHeight="1">
      <c r="B961" s="75" t="n"/>
      <c r="E961" s="75" t="n"/>
      <c r="G961" s="75" t="n"/>
      <c r="H961" s="28" t="n"/>
      <c r="J961" s="269" t="n"/>
      <c r="K961" s="270" t="n"/>
    </row>
    <row r="962" ht="13" customHeight="1">
      <c r="B962" s="75" t="n"/>
      <c r="E962" s="75" t="n"/>
      <c r="G962" s="75" t="n"/>
      <c r="H962" s="28" t="n"/>
      <c r="J962" s="269" t="n"/>
      <c r="K962" s="270" t="n"/>
    </row>
    <row r="963" ht="13" customHeight="1">
      <c r="B963" s="75" t="n"/>
      <c r="E963" s="75" t="n"/>
      <c r="G963" s="75" t="n"/>
      <c r="H963" s="28" t="n"/>
      <c r="J963" s="269" t="n"/>
      <c r="K963" s="270" t="n"/>
    </row>
    <row r="964" ht="13" customHeight="1">
      <c r="B964" s="75" t="n"/>
      <c r="E964" s="75" t="n"/>
      <c r="G964" s="75" t="n"/>
      <c r="H964" s="28" t="n"/>
      <c r="J964" s="269" t="n"/>
      <c r="K964" s="270" t="n"/>
    </row>
    <row r="965" ht="13" customHeight="1">
      <c r="B965" s="75" t="n"/>
      <c r="E965" s="75" t="n"/>
      <c r="G965" s="75" t="n"/>
      <c r="H965" s="28" t="n"/>
      <c r="J965" s="269" t="n"/>
      <c r="K965" s="270" t="n"/>
    </row>
    <row r="966" ht="13" customHeight="1">
      <c r="B966" s="75" t="n"/>
      <c r="E966" s="75" t="n"/>
      <c r="G966" s="75" t="n"/>
      <c r="H966" s="28" t="n"/>
      <c r="J966" s="269" t="n"/>
      <c r="K966" s="270" t="n"/>
    </row>
    <row r="967" ht="13" customHeight="1">
      <c r="B967" s="75" t="n"/>
      <c r="E967" s="75" t="n"/>
      <c r="G967" s="75" t="n"/>
      <c r="H967" s="28" t="n"/>
      <c r="J967" s="269" t="n"/>
      <c r="K967" s="270" t="n"/>
    </row>
    <row r="968" ht="13" customHeight="1">
      <c r="B968" s="75" t="n"/>
      <c r="E968" s="75" t="n"/>
      <c r="G968" s="75" t="n"/>
      <c r="H968" s="28" t="n"/>
      <c r="J968" s="269" t="n"/>
      <c r="K968" s="270" t="n"/>
    </row>
    <row r="969" ht="13" customHeight="1">
      <c r="B969" s="75" t="n"/>
      <c r="E969" s="75" t="n"/>
      <c r="G969" s="75" t="n"/>
      <c r="H969" s="28" t="n"/>
      <c r="J969" s="269" t="n"/>
      <c r="K969" s="270" t="n"/>
    </row>
    <row r="970" ht="13" customHeight="1">
      <c r="B970" s="75" t="n"/>
      <c r="E970" s="75" t="n"/>
      <c r="G970" s="75" t="n"/>
      <c r="H970" s="28" t="n"/>
      <c r="J970" s="269" t="n"/>
      <c r="K970" s="270" t="n"/>
    </row>
    <row r="971" ht="13" customHeight="1">
      <c r="B971" s="75" t="n"/>
      <c r="E971" s="75" t="n"/>
      <c r="G971" s="75" t="n"/>
      <c r="H971" s="28" t="n"/>
      <c r="J971" s="269" t="n"/>
      <c r="K971" s="270" t="n"/>
    </row>
    <row r="972" ht="13" customHeight="1">
      <c r="B972" s="75" t="n"/>
      <c r="E972" s="75" t="n"/>
      <c r="G972" s="75" t="n"/>
      <c r="H972" s="28" t="n"/>
      <c r="J972" s="269" t="n"/>
      <c r="K972" s="270" t="n"/>
    </row>
    <row r="973" ht="13" customHeight="1">
      <c r="B973" s="75" t="n"/>
      <c r="E973" s="75" t="n"/>
      <c r="G973" s="75" t="n"/>
      <c r="H973" s="28" t="n"/>
      <c r="J973" s="269" t="n"/>
      <c r="K973" s="270" t="n"/>
    </row>
    <row r="974" ht="13" customHeight="1">
      <c r="B974" s="75" t="n"/>
      <c r="E974" s="75" t="n"/>
      <c r="G974" s="75" t="n"/>
      <c r="H974" s="28" t="n"/>
      <c r="J974" s="269" t="n"/>
      <c r="K974" s="270" t="n"/>
    </row>
    <row r="975" ht="13" customHeight="1">
      <c r="B975" s="75" t="n"/>
      <c r="E975" s="75" t="n"/>
      <c r="G975" s="75" t="n"/>
      <c r="H975" s="28" t="n"/>
      <c r="J975" s="269" t="n"/>
      <c r="K975" s="270" t="n"/>
    </row>
    <row r="976" ht="13" customHeight="1">
      <c r="B976" s="75" t="n"/>
      <c r="E976" s="75" t="n"/>
      <c r="G976" s="75" t="n"/>
      <c r="H976" s="28" t="n"/>
      <c r="J976" s="269" t="n"/>
      <c r="K976" s="270" t="n"/>
    </row>
    <row r="977" ht="13" customHeight="1">
      <c r="B977" s="75" t="n"/>
      <c r="E977" s="75" t="n"/>
      <c r="G977" s="75" t="n"/>
      <c r="H977" s="28" t="n"/>
      <c r="J977" s="269" t="n"/>
      <c r="K977" s="270" t="n"/>
    </row>
    <row r="978" ht="13" customHeight="1">
      <c r="B978" s="75" t="n"/>
      <c r="E978" s="75" t="n"/>
      <c r="G978" s="75" t="n"/>
      <c r="H978" s="28" t="n"/>
      <c r="J978" s="269" t="n"/>
      <c r="K978" s="270" t="n"/>
    </row>
    <row r="979" ht="13" customHeight="1">
      <c r="B979" s="75" t="n"/>
      <c r="E979" s="75" t="n"/>
      <c r="G979" s="75" t="n"/>
      <c r="H979" s="28" t="n"/>
      <c r="J979" s="269" t="n"/>
      <c r="K979" s="270" t="n"/>
    </row>
    <row r="980" ht="13" customHeight="1">
      <c r="B980" s="75" t="n"/>
      <c r="E980" s="75" t="n"/>
      <c r="G980" s="75" t="n"/>
      <c r="H980" s="28" t="n"/>
      <c r="J980" s="269" t="n"/>
      <c r="K980" s="270" t="n"/>
    </row>
    <row r="981" ht="13" customHeight="1">
      <c r="B981" s="75" t="n"/>
      <c r="E981" s="75" t="n"/>
      <c r="G981" s="75" t="n"/>
      <c r="H981" s="28" t="n"/>
      <c r="J981" s="269" t="n"/>
      <c r="K981" s="270" t="n"/>
    </row>
    <row r="982" ht="13" customHeight="1">
      <c r="B982" s="75" t="n"/>
      <c r="E982" s="75" t="n"/>
      <c r="G982" s="75" t="n"/>
      <c r="H982" s="28" t="n"/>
      <c r="J982" s="269" t="n"/>
      <c r="K982" s="270" t="n"/>
    </row>
    <row r="983" ht="13" customHeight="1">
      <c r="B983" s="75" t="n"/>
      <c r="E983" s="75" t="n"/>
      <c r="G983" s="75" t="n"/>
      <c r="H983" s="28" t="n"/>
      <c r="J983" s="269" t="n"/>
      <c r="K983" s="270" t="n"/>
    </row>
    <row r="984" ht="13" customHeight="1">
      <c r="B984" s="75" t="n"/>
      <c r="E984" s="75" t="n"/>
      <c r="G984" s="75" t="n"/>
      <c r="H984" s="28" t="n"/>
      <c r="J984" s="269" t="n"/>
      <c r="K984" s="270" t="n"/>
    </row>
    <row r="985" ht="13" customHeight="1">
      <c r="B985" s="75" t="n"/>
      <c r="E985" s="75" t="n"/>
      <c r="G985" s="75" t="n"/>
      <c r="H985" s="28" t="n"/>
      <c r="J985" s="269" t="n"/>
      <c r="K985" s="270" t="n"/>
    </row>
    <row r="986" ht="13" customHeight="1">
      <c r="B986" s="75" t="n"/>
      <c r="E986" s="75" t="n"/>
      <c r="G986" s="75" t="n"/>
      <c r="H986" s="28" t="n"/>
      <c r="J986" s="269" t="n"/>
      <c r="K986" s="270" t="n"/>
    </row>
    <row r="987" ht="13" customHeight="1">
      <c r="B987" s="75" t="n"/>
      <c r="E987" s="75" t="n"/>
      <c r="G987" s="75" t="n"/>
      <c r="H987" s="28" t="n"/>
      <c r="J987" s="269" t="n"/>
      <c r="K987" s="270" t="n"/>
    </row>
    <row r="988" ht="13" customHeight="1">
      <c r="B988" s="75" t="n"/>
      <c r="E988" s="75" t="n"/>
      <c r="G988" s="75" t="n"/>
      <c r="H988" s="28" t="n"/>
      <c r="J988" s="269" t="n"/>
      <c r="K988" s="270" t="n"/>
    </row>
    <row r="989" ht="13" customHeight="1">
      <c r="B989" s="75" t="n"/>
      <c r="E989" s="75" t="n"/>
      <c r="G989" s="75" t="n"/>
      <c r="H989" s="28" t="n"/>
      <c r="J989" s="269" t="n"/>
      <c r="K989" s="270" t="n"/>
    </row>
    <row r="990" ht="13" customHeight="1">
      <c r="B990" s="75" t="n"/>
      <c r="E990" s="75" t="n"/>
      <c r="G990" s="75" t="n"/>
      <c r="H990" s="28" t="n"/>
      <c r="J990" s="269" t="n"/>
      <c r="K990" s="270" t="n"/>
    </row>
    <row r="991" ht="13" customHeight="1">
      <c r="B991" s="75" t="n"/>
      <c r="E991" s="75" t="n"/>
      <c r="G991" s="75" t="n"/>
      <c r="H991" s="28" t="n"/>
      <c r="J991" s="269" t="n"/>
      <c r="K991" s="270" t="n"/>
    </row>
    <row r="992" ht="13" customHeight="1">
      <c r="B992" s="75" t="n"/>
      <c r="E992" s="75" t="n"/>
      <c r="G992" s="75" t="n"/>
      <c r="H992" s="28" t="n"/>
      <c r="J992" s="269" t="n"/>
      <c r="K992" s="270" t="n"/>
    </row>
    <row r="993" ht="13" customHeight="1">
      <c r="B993" s="75" t="n"/>
      <c r="E993" s="75" t="n"/>
      <c r="G993" s="75" t="n"/>
      <c r="H993" s="28" t="n"/>
      <c r="J993" s="269" t="n"/>
      <c r="K993" s="270" t="n"/>
    </row>
    <row r="994" ht="13" customHeight="1">
      <c r="B994" s="75" t="n"/>
      <c r="E994" s="75" t="n"/>
      <c r="G994" s="75" t="n"/>
      <c r="H994" s="28" t="n"/>
      <c r="J994" s="269" t="n"/>
      <c r="K994" s="270" t="n"/>
    </row>
    <row r="995" ht="13" customHeight="1">
      <c r="B995" s="75" t="n"/>
      <c r="E995" s="75" t="n"/>
      <c r="G995" s="75" t="n"/>
      <c r="H995" s="28" t="n"/>
      <c r="J995" s="269" t="n"/>
      <c r="K995" s="270" t="n"/>
    </row>
    <row r="996" ht="13" customHeight="1">
      <c r="B996" s="75" t="n"/>
      <c r="E996" s="75" t="n"/>
      <c r="G996" s="75" t="n"/>
      <c r="H996" s="28" t="n"/>
      <c r="J996" s="269" t="n"/>
      <c r="K996" s="270" t="n"/>
    </row>
    <row r="997" ht="13" customHeight="1">
      <c r="B997" s="75" t="n"/>
      <c r="E997" s="75" t="n"/>
      <c r="G997" s="75" t="n"/>
      <c r="H997" s="28" t="n"/>
      <c r="J997" s="269" t="n"/>
      <c r="K997" s="270" t="n"/>
    </row>
    <row r="998" ht="13" customHeight="1">
      <c r="B998" s="75" t="n"/>
      <c r="E998" s="75" t="n"/>
      <c r="G998" s="75" t="n"/>
      <c r="H998" s="28" t="n"/>
      <c r="J998" s="269" t="n"/>
      <c r="K998" s="270" t="n"/>
    </row>
    <row r="999" ht="13" customHeight="1">
      <c r="B999" s="75" t="n"/>
      <c r="E999" s="75" t="n"/>
      <c r="G999" s="75" t="n"/>
      <c r="H999" s="28" t="n"/>
      <c r="J999" s="269" t="n"/>
      <c r="K999" s="270" t="n"/>
    </row>
    <row r="1000" ht="13" customHeight="1">
      <c r="B1000" s="75" t="n"/>
      <c r="E1000" s="75" t="n"/>
      <c r="G1000" s="75" t="n"/>
      <c r="H1000" s="28" t="n"/>
      <c r="J1000" s="269" t="n"/>
      <c r="K1000" s="270" t="n"/>
    </row>
    <row r="1001" ht="13" customHeight="1">
      <c r="B1001" s="75" t="n"/>
      <c r="E1001" s="75" t="n"/>
      <c r="G1001" s="75" t="n"/>
      <c r="H1001" s="28" t="n"/>
      <c r="J1001" s="269" t="n"/>
      <c r="K1001" s="270" t="n"/>
    </row>
    <row r="1002" ht="13" customHeight="1">
      <c r="B1002" s="75" t="n"/>
      <c r="E1002" s="75" t="n"/>
      <c r="G1002" s="75" t="n"/>
      <c r="H1002" s="28" t="n"/>
      <c r="J1002" s="269" t="n"/>
      <c r="K1002" s="270" t="n"/>
    </row>
    <row r="1003" ht="13" customHeight="1">
      <c r="B1003" s="75" t="n"/>
      <c r="E1003" s="75" t="n"/>
      <c r="G1003" s="75" t="n"/>
      <c r="H1003" s="28" t="n"/>
      <c r="J1003" s="269" t="n"/>
      <c r="K1003" s="270" t="n"/>
    </row>
    <row r="1004" ht="13" customHeight="1">
      <c r="B1004" s="75" t="n"/>
      <c r="E1004" s="75" t="n"/>
      <c r="G1004" s="75" t="n"/>
      <c r="H1004" s="28" t="n"/>
      <c r="J1004" s="269" t="n"/>
      <c r="K1004" s="270" t="n"/>
    </row>
    <row r="1005" ht="13" customHeight="1">
      <c r="B1005" s="75" t="n"/>
      <c r="E1005" s="75" t="n"/>
      <c r="G1005" s="75" t="n"/>
      <c r="H1005" s="28" t="n"/>
      <c r="J1005" s="269" t="n"/>
      <c r="K1005" s="270" t="n"/>
    </row>
    <row r="1006" ht="13" customHeight="1">
      <c r="B1006" s="75" t="n"/>
      <c r="E1006" s="75" t="n"/>
      <c r="G1006" s="75" t="n"/>
      <c r="H1006" s="28" t="n"/>
      <c r="J1006" s="269" t="n"/>
      <c r="K1006" s="270" t="n"/>
    </row>
    <row r="1007" ht="13" customHeight="1">
      <c r="B1007" s="75" t="n"/>
      <c r="E1007" s="75" t="n"/>
      <c r="G1007" s="75" t="n"/>
      <c r="H1007" s="28" t="n"/>
      <c r="J1007" s="269" t="n"/>
      <c r="K1007" s="270" t="n"/>
    </row>
    <row r="1008" ht="13" customHeight="1">
      <c r="B1008" s="75" t="n"/>
      <c r="E1008" s="75" t="n"/>
      <c r="G1008" s="75" t="n"/>
      <c r="H1008" s="28" t="n"/>
      <c r="J1008" s="269" t="n"/>
      <c r="K1008" s="270" t="n"/>
    </row>
    <row r="1009" ht="13" customHeight="1">
      <c r="B1009" s="75" t="n"/>
      <c r="E1009" s="75" t="n"/>
      <c r="G1009" s="75" t="n"/>
      <c r="H1009" s="28" t="n"/>
      <c r="J1009" s="269" t="n"/>
      <c r="K1009" s="270" t="n"/>
    </row>
    <row r="1010" ht="13" customHeight="1">
      <c r="B1010" s="75" t="n"/>
      <c r="E1010" s="75" t="n"/>
      <c r="G1010" s="75" t="n"/>
      <c r="H1010" s="28" t="n"/>
      <c r="J1010" s="269" t="n"/>
      <c r="K1010" s="270" t="n"/>
    </row>
    <row r="1011" ht="13" customHeight="1">
      <c r="B1011" s="75" t="n"/>
      <c r="E1011" s="75" t="n"/>
      <c r="G1011" s="75" t="n"/>
      <c r="H1011" s="28" t="n"/>
      <c r="J1011" s="269" t="n"/>
      <c r="K1011" s="270" t="n"/>
    </row>
    <row r="1012" ht="13" customHeight="1">
      <c r="B1012" s="75" t="n"/>
      <c r="E1012" s="75" t="n"/>
      <c r="G1012" s="75" t="n"/>
      <c r="H1012" s="28" t="n"/>
      <c r="J1012" s="269" t="n"/>
      <c r="K1012" s="270" t="n"/>
    </row>
    <row r="1013" ht="13" customHeight="1">
      <c r="B1013" s="75" t="n"/>
      <c r="E1013" s="75" t="n"/>
      <c r="G1013" s="75" t="n"/>
      <c r="H1013" s="28" t="n"/>
      <c r="J1013" s="269" t="n"/>
      <c r="K1013" s="270" t="n"/>
    </row>
    <row r="1014" ht="13" customHeight="1">
      <c r="B1014" s="75" t="n"/>
      <c r="E1014" s="75" t="n"/>
      <c r="G1014" s="75" t="n"/>
      <c r="H1014" s="28" t="n"/>
      <c r="J1014" s="269" t="n"/>
      <c r="K1014" s="270" t="n"/>
    </row>
    <row r="1015" ht="13" customHeight="1">
      <c r="B1015" s="75" t="n"/>
      <c r="E1015" s="75" t="n"/>
      <c r="G1015" s="75" t="n"/>
      <c r="H1015" s="28" t="n"/>
      <c r="J1015" s="269" t="n"/>
      <c r="K1015" s="270" t="n"/>
    </row>
    <row r="1016" ht="13" customHeight="1">
      <c r="B1016" s="75" t="n"/>
      <c r="E1016" s="75" t="n"/>
      <c r="G1016" s="75" t="n"/>
      <c r="H1016" s="28" t="n"/>
      <c r="J1016" s="269" t="n"/>
      <c r="K1016" s="270" t="n"/>
    </row>
    <row r="1017" ht="13" customHeight="1">
      <c r="B1017" s="75" t="n"/>
      <c r="E1017" s="75" t="n"/>
      <c r="G1017" s="75" t="n"/>
      <c r="H1017" s="28" t="n"/>
      <c r="J1017" s="269" t="n"/>
      <c r="K1017" s="270" t="n"/>
    </row>
    <row r="1018" ht="13" customHeight="1">
      <c r="B1018" s="75" t="n"/>
      <c r="E1018" s="75" t="n"/>
      <c r="G1018" s="75" t="n"/>
      <c r="H1018" s="28" t="n"/>
      <c r="J1018" s="269" t="n"/>
      <c r="K1018" s="270" t="n"/>
    </row>
    <row r="1019" ht="13" customHeight="1">
      <c r="B1019" s="75" t="n"/>
      <c r="E1019" s="75" t="n"/>
      <c r="G1019" s="75" t="n"/>
      <c r="H1019" s="28" t="n"/>
      <c r="J1019" s="269" t="n"/>
      <c r="K1019" s="270" t="n"/>
    </row>
    <row r="1020" ht="13" customHeight="1">
      <c r="B1020" s="75" t="n"/>
      <c r="E1020" s="75" t="n"/>
      <c r="G1020" s="75" t="n"/>
      <c r="H1020" s="28" t="n"/>
      <c r="J1020" s="269" t="n"/>
      <c r="K1020" s="270" t="n"/>
    </row>
    <row r="1021" ht="13" customHeight="1">
      <c r="B1021" s="75" t="n"/>
      <c r="E1021" s="75" t="n"/>
      <c r="G1021" s="75" t="n"/>
      <c r="H1021" s="28" t="n"/>
      <c r="J1021" s="269" t="n"/>
      <c r="K1021" s="270" t="n"/>
    </row>
    <row r="1022" ht="13" customHeight="1">
      <c r="B1022" s="75" t="n"/>
      <c r="E1022" s="75" t="n"/>
      <c r="G1022" s="75" t="n"/>
      <c r="H1022" s="28" t="n"/>
      <c r="J1022" s="269" t="n"/>
      <c r="K1022" s="270" t="n"/>
    </row>
    <row r="1023" ht="13" customHeight="1">
      <c r="B1023" s="75" t="n"/>
      <c r="E1023" s="75" t="n"/>
      <c r="G1023" s="75" t="n"/>
      <c r="H1023" s="28" t="n"/>
      <c r="J1023" s="269" t="n"/>
      <c r="K1023" s="270" t="n"/>
    </row>
    <row r="1024" ht="13" customHeight="1">
      <c r="B1024" s="75" t="n"/>
      <c r="E1024" s="75" t="n"/>
      <c r="G1024" s="75" t="n"/>
      <c r="H1024" s="28" t="n"/>
      <c r="J1024" s="269" t="n"/>
      <c r="K1024" s="270" t="n"/>
    </row>
    <row r="1025" ht="13" customHeight="1">
      <c r="B1025" s="75" t="n"/>
      <c r="E1025" s="75" t="n"/>
      <c r="G1025" s="75" t="n"/>
      <c r="H1025" s="28" t="n"/>
      <c r="J1025" s="269" t="n"/>
      <c r="K1025" s="270" t="n"/>
    </row>
    <row r="1026" ht="13" customHeight="1">
      <c r="B1026" s="75" t="n"/>
      <c r="E1026" s="75" t="n"/>
      <c r="G1026" s="75" t="n"/>
      <c r="H1026" s="28" t="n"/>
      <c r="J1026" s="269" t="n"/>
      <c r="K1026" s="270" t="n"/>
    </row>
    <row r="1027" ht="13" customHeight="1">
      <c r="B1027" s="75" t="n"/>
      <c r="E1027" s="75" t="n"/>
      <c r="G1027" s="75" t="n"/>
      <c r="H1027" s="28" t="n"/>
      <c r="J1027" s="269" t="n"/>
      <c r="K1027" s="270" t="n"/>
    </row>
    <row r="1028" ht="13" customHeight="1">
      <c r="B1028" s="75" t="n"/>
      <c r="E1028" s="75" t="n"/>
      <c r="G1028" s="75" t="n"/>
      <c r="H1028" s="28" t="n"/>
      <c r="J1028" s="269" t="n"/>
      <c r="K1028" s="270" t="n"/>
    </row>
    <row r="1029" ht="13" customHeight="1">
      <c r="B1029" s="75" t="n"/>
      <c r="E1029" s="75" t="n"/>
      <c r="G1029" s="75" t="n"/>
      <c r="H1029" s="28" t="n"/>
      <c r="J1029" s="269" t="n"/>
      <c r="K1029" s="270" t="n"/>
    </row>
    <row r="1030" ht="13" customHeight="1">
      <c r="B1030" s="75" t="n"/>
      <c r="E1030" s="75" t="n"/>
      <c r="G1030" s="75" t="n"/>
      <c r="H1030" s="28" t="n"/>
      <c r="J1030" s="269" t="n"/>
      <c r="K1030" s="270" t="n"/>
    </row>
    <row r="1031" ht="13" customHeight="1">
      <c r="B1031" s="75" t="n"/>
      <c r="E1031" s="75" t="n"/>
      <c r="G1031" s="75" t="n"/>
      <c r="H1031" s="28" t="n"/>
      <c r="J1031" s="269" t="n"/>
      <c r="K1031" s="270" t="n"/>
    </row>
    <row r="1032" ht="13" customHeight="1">
      <c r="B1032" s="75" t="n"/>
      <c r="E1032" s="75" t="n"/>
      <c r="G1032" s="75" t="n"/>
      <c r="H1032" s="28" t="n"/>
      <c r="J1032" s="269" t="n"/>
      <c r="K1032" s="270" t="n"/>
    </row>
    <row r="1033" ht="13" customHeight="1">
      <c r="B1033" s="75" t="n"/>
      <c r="E1033" s="75" t="n"/>
      <c r="G1033" s="75" t="n"/>
      <c r="H1033" s="28" t="n"/>
      <c r="J1033" s="269" t="n"/>
      <c r="K1033" s="270" t="n"/>
    </row>
    <row r="1034" ht="13" customHeight="1">
      <c r="B1034" s="75" t="n"/>
      <c r="E1034" s="75" t="n"/>
      <c r="G1034" s="75" t="n"/>
      <c r="H1034" s="28" t="n"/>
      <c r="J1034" s="269" t="n"/>
      <c r="K1034" s="270" t="n"/>
    </row>
    <row r="1035" ht="13" customHeight="1">
      <c r="B1035" s="75" t="n"/>
      <c r="E1035" s="75" t="n"/>
      <c r="G1035" s="75" t="n"/>
      <c r="H1035" s="28" t="n"/>
      <c r="J1035" s="269" t="n"/>
      <c r="K1035" s="270" t="n"/>
    </row>
    <row r="1036" ht="13" customHeight="1">
      <c r="B1036" s="75" t="n"/>
      <c r="E1036" s="75" t="n"/>
      <c r="G1036" s="75" t="n"/>
      <c r="H1036" s="28" t="n"/>
      <c r="J1036" s="269" t="n"/>
      <c r="K1036" s="270" t="n"/>
    </row>
    <row r="1037" ht="13" customHeight="1">
      <c r="B1037" s="75" t="n"/>
      <c r="E1037" s="75" t="n"/>
      <c r="G1037" s="75" t="n"/>
      <c r="H1037" s="28" t="n"/>
      <c r="J1037" s="269" t="n"/>
      <c r="K1037" s="270" t="n"/>
    </row>
    <row r="1038" ht="13" customHeight="1">
      <c r="B1038" s="75" t="n"/>
      <c r="E1038" s="75" t="n"/>
      <c r="G1038" s="75" t="n"/>
      <c r="H1038" s="28" t="n"/>
      <c r="J1038" s="269" t="n"/>
      <c r="K1038" s="270" t="n"/>
    </row>
    <row r="1039" ht="13" customHeight="1">
      <c r="B1039" s="75" t="n"/>
      <c r="E1039" s="75" t="n"/>
      <c r="G1039" s="75" t="n"/>
      <c r="H1039" s="28" t="n"/>
      <c r="J1039" s="269" t="n"/>
      <c r="K1039" s="270" t="n"/>
    </row>
    <row r="1040" ht="13" customHeight="1">
      <c r="B1040" s="75" t="n"/>
      <c r="E1040" s="75" t="n"/>
      <c r="G1040" s="75" t="n"/>
      <c r="H1040" s="28" t="n"/>
      <c r="J1040" s="269" t="n"/>
      <c r="K1040" s="270" t="n"/>
    </row>
    <row r="1041" ht="13" customHeight="1">
      <c r="B1041" s="75" t="n"/>
      <c r="E1041" s="75" t="n"/>
      <c r="G1041" s="75" t="n"/>
      <c r="H1041" s="28" t="n"/>
      <c r="J1041" s="269" t="n"/>
      <c r="K1041" s="270" t="n"/>
    </row>
    <row r="1042" ht="13" customHeight="1">
      <c r="B1042" s="75" t="n"/>
      <c r="E1042" s="75" t="n"/>
      <c r="G1042" s="75" t="n"/>
      <c r="H1042" s="28" t="n"/>
      <c r="J1042" s="269" t="n"/>
      <c r="K1042" s="270" t="n"/>
    </row>
    <row r="1043" ht="13" customHeight="1">
      <c r="B1043" s="75" t="n"/>
      <c r="E1043" s="75" t="n"/>
      <c r="G1043" s="75" t="n"/>
      <c r="H1043" s="28" t="n"/>
      <c r="J1043" s="269" t="n"/>
      <c r="K1043" s="270" t="n"/>
    </row>
    <row r="1044" ht="13" customHeight="1">
      <c r="B1044" s="75" t="n"/>
      <c r="E1044" s="75" t="n"/>
      <c r="G1044" s="75" t="n"/>
      <c r="H1044" s="28" t="n"/>
      <c r="J1044" s="269" t="n"/>
      <c r="K1044" s="270" t="n"/>
    </row>
    <row r="1045" ht="13" customHeight="1">
      <c r="B1045" s="75" t="n"/>
      <c r="E1045" s="75" t="n"/>
      <c r="G1045" s="75" t="n"/>
      <c r="H1045" s="28" t="n"/>
      <c r="J1045" s="269" t="n"/>
      <c r="K1045" s="270" t="n"/>
    </row>
    <row r="1046" ht="13" customHeight="1">
      <c r="B1046" s="75" t="n"/>
      <c r="E1046" s="75" t="n"/>
      <c r="G1046" s="75" t="n"/>
      <c r="H1046" s="28" t="n"/>
      <c r="J1046" s="269" t="n"/>
      <c r="K1046" s="270" t="n"/>
    </row>
    <row r="1047" ht="13" customHeight="1">
      <c r="B1047" s="75" t="n"/>
      <c r="E1047" s="75" t="n"/>
      <c r="G1047" s="75" t="n"/>
      <c r="H1047" s="28" t="n"/>
      <c r="J1047" s="269" t="n"/>
      <c r="K1047" s="270" t="n"/>
    </row>
    <row r="1048" ht="13" customHeight="1">
      <c r="B1048" s="75" t="n"/>
      <c r="E1048" s="75" t="n"/>
      <c r="G1048" s="75" t="n"/>
      <c r="H1048" s="28" t="n"/>
      <c r="J1048" s="269" t="n"/>
      <c r="K1048" s="270" t="n"/>
    </row>
    <row r="1049" ht="13" customHeight="1">
      <c r="B1049" s="75" t="n"/>
      <c r="E1049" s="75" t="n"/>
      <c r="G1049" s="75" t="n"/>
      <c r="H1049" s="28" t="n"/>
      <c r="J1049" s="269" t="n"/>
      <c r="K1049" s="270" t="n"/>
    </row>
    <row r="1050" ht="13" customHeight="1">
      <c r="B1050" s="75" t="n"/>
      <c r="E1050" s="75" t="n"/>
      <c r="G1050" s="75" t="n"/>
      <c r="H1050" s="28" t="n"/>
      <c r="J1050" s="269" t="n"/>
      <c r="K1050" s="270" t="n"/>
    </row>
    <row r="1051" ht="13" customHeight="1">
      <c r="B1051" s="75" t="n"/>
      <c r="E1051" s="75" t="n"/>
      <c r="G1051" s="75" t="n"/>
      <c r="H1051" s="28" t="n"/>
      <c r="J1051" s="269" t="n"/>
      <c r="K1051" s="270" t="n"/>
    </row>
    <row r="1052" ht="13" customHeight="1">
      <c r="B1052" s="75" t="n"/>
      <c r="E1052" s="75" t="n"/>
      <c r="G1052" s="75" t="n"/>
      <c r="H1052" s="28" t="n"/>
      <c r="J1052" s="269" t="n"/>
      <c r="K1052" s="270" t="n"/>
    </row>
    <row r="1053" ht="13" customHeight="1">
      <c r="B1053" s="75" t="n"/>
      <c r="E1053" s="75" t="n"/>
      <c r="G1053" s="75" t="n"/>
      <c r="H1053" s="28" t="n"/>
      <c r="J1053" s="269" t="n"/>
      <c r="K1053" s="270" t="n"/>
    </row>
    <row r="1054" ht="13" customHeight="1">
      <c r="B1054" s="75" t="n"/>
      <c r="E1054" s="75" t="n"/>
      <c r="G1054" s="75" t="n"/>
      <c r="H1054" s="28" t="n"/>
      <c r="J1054" s="269" t="n"/>
      <c r="K1054" s="270" t="n"/>
    </row>
    <row r="1055" ht="13" customHeight="1">
      <c r="B1055" s="75" t="n"/>
      <c r="E1055" s="75" t="n"/>
      <c r="G1055" s="75" t="n"/>
      <c r="H1055" s="28" t="n"/>
      <c r="J1055" s="269" t="n"/>
      <c r="K1055" s="270" t="n"/>
    </row>
    <row r="1056" ht="13" customHeight="1">
      <c r="B1056" s="75" t="n"/>
      <c r="E1056" s="75" t="n"/>
      <c r="G1056" s="75" t="n"/>
      <c r="H1056" s="28" t="n"/>
      <c r="J1056" s="269" t="n"/>
      <c r="K1056" s="270" t="n"/>
    </row>
    <row r="1057" ht="13" customHeight="1">
      <c r="B1057" s="75" t="n"/>
      <c r="E1057" s="75" t="n"/>
      <c r="G1057" s="75" t="n"/>
      <c r="H1057" s="28" t="n"/>
      <c r="J1057" s="269" t="n"/>
      <c r="K1057" s="270" t="n"/>
    </row>
    <row r="1058" ht="13" customHeight="1">
      <c r="B1058" s="75" t="n"/>
      <c r="E1058" s="75" t="n"/>
      <c r="G1058" s="75" t="n"/>
      <c r="H1058" s="28" t="n"/>
      <c r="J1058" s="269" t="n"/>
      <c r="K1058" s="270" t="n"/>
    </row>
    <row r="1059" ht="13" customHeight="1">
      <c r="B1059" s="75" t="n"/>
      <c r="E1059" s="75" t="n"/>
      <c r="G1059" s="75" t="n"/>
      <c r="H1059" s="28" t="n"/>
      <c r="J1059" s="269" t="n"/>
      <c r="K1059" s="270" t="n"/>
    </row>
    <row r="1060" ht="13" customHeight="1">
      <c r="B1060" s="75" t="n"/>
      <c r="E1060" s="75" t="n"/>
      <c r="G1060" s="75" t="n"/>
      <c r="H1060" s="28" t="n"/>
      <c r="J1060" s="269" t="n"/>
      <c r="K1060" s="270" t="n"/>
    </row>
    <row r="1061" ht="13" customHeight="1">
      <c r="B1061" s="75" t="n"/>
      <c r="E1061" s="75" t="n"/>
      <c r="G1061" s="75" t="n"/>
      <c r="H1061" s="28" t="n"/>
      <c r="J1061" s="269" t="n"/>
      <c r="K1061" s="270" t="n"/>
    </row>
    <row r="1062" ht="13" customHeight="1">
      <c r="B1062" s="75" t="n"/>
      <c r="E1062" s="75" t="n"/>
      <c r="G1062" s="75" t="n"/>
      <c r="H1062" s="28" t="n"/>
      <c r="J1062" s="269" t="n"/>
      <c r="K1062" s="270" t="n"/>
    </row>
    <row r="1063" ht="13" customHeight="1">
      <c r="B1063" s="75" t="n"/>
      <c r="E1063" s="75" t="n"/>
      <c r="G1063" s="75" t="n"/>
      <c r="H1063" s="28" t="n"/>
      <c r="J1063" s="269" t="n"/>
      <c r="K1063" s="270" t="n"/>
    </row>
    <row r="1064" ht="13" customHeight="1">
      <c r="B1064" s="75" t="n"/>
      <c r="E1064" s="75" t="n"/>
      <c r="G1064" s="75" t="n"/>
      <c r="H1064" s="28" t="n"/>
      <c r="J1064" s="269" t="n"/>
      <c r="K1064" s="270" t="n"/>
    </row>
    <row r="1065" ht="13" customHeight="1">
      <c r="B1065" s="75" t="n"/>
      <c r="E1065" s="75" t="n"/>
      <c r="G1065" s="75" t="n"/>
      <c r="H1065" s="28" t="n"/>
      <c r="J1065" s="269" t="n"/>
      <c r="K1065" s="270" t="n"/>
    </row>
    <row r="1066" ht="13" customHeight="1">
      <c r="B1066" s="75" t="n"/>
      <c r="E1066" s="75" t="n"/>
      <c r="G1066" s="75" t="n"/>
      <c r="H1066" s="28" t="n"/>
      <c r="J1066" s="269" t="n"/>
      <c r="K1066" s="270" t="n"/>
    </row>
    <row r="1067" ht="13" customHeight="1">
      <c r="B1067" s="75" t="n"/>
      <c r="E1067" s="75" t="n"/>
      <c r="G1067" s="75" t="n"/>
      <c r="H1067" s="28" t="n"/>
      <c r="J1067" s="269" t="n"/>
      <c r="K1067" s="270" t="n"/>
    </row>
    <row r="1068" ht="13" customHeight="1">
      <c r="B1068" s="75" t="n"/>
      <c r="E1068" s="75" t="n"/>
      <c r="G1068" s="75" t="n"/>
      <c r="H1068" s="28" t="n"/>
      <c r="J1068" s="269" t="n"/>
      <c r="K1068" s="270" t="n"/>
    </row>
    <row r="1069" ht="13" customHeight="1">
      <c r="B1069" s="75" t="n"/>
      <c r="E1069" s="75" t="n"/>
      <c r="G1069" s="75" t="n"/>
      <c r="H1069" s="28" t="n"/>
      <c r="J1069" s="269" t="n"/>
      <c r="K1069" s="270" t="n"/>
    </row>
    <row r="1070" ht="13" customHeight="1">
      <c r="B1070" s="75" t="n"/>
      <c r="E1070" s="75" t="n"/>
      <c r="G1070" s="75" t="n"/>
      <c r="H1070" s="28" t="n"/>
      <c r="J1070" s="269" t="n"/>
      <c r="K1070" s="270" t="n"/>
    </row>
    <row r="1071" ht="13" customHeight="1">
      <c r="B1071" s="75" t="n"/>
      <c r="E1071" s="75" t="n"/>
      <c r="G1071" s="75" t="n"/>
      <c r="H1071" s="28" t="n"/>
      <c r="J1071" s="269" t="n"/>
      <c r="K1071" s="270" t="n"/>
    </row>
    <row r="1072" ht="13" customHeight="1">
      <c r="B1072" s="75" t="n"/>
      <c r="E1072" s="75" t="n"/>
      <c r="G1072" s="75" t="n"/>
      <c r="H1072" s="28" t="n"/>
      <c r="J1072" s="269" t="n"/>
      <c r="K1072" s="270" t="n"/>
    </row>
    <row r="1073" ht="13" customHeight="1">
      <c r="B1073" s="75" t="n"/>
      <c r="E1073" s="75" t="n"/>
      <c r="G1073" s="75" t="n"/>
      <c r="H1073" s="28" t="n"/>
      <c r="J1073" s="269" t="n"/>
      <c r="K1073" s="270" t="n"/>
    </row>
    <row r="1074" ht="13" customHeight="1">
      <c r="B1074" s="75" t="n"/>
      <c r="E1074" s="75" t="n"/>
      <c r="G1074" s="75" t="n"/>
      <c r="H1074" s="28" t="n"/>
      <c r="J1074" s="269" t="n"/>
      <c r="K1074" s="270" t="n"/>
    </row>
    <row r="1075" ht="13" customHeight="1">
      <c r="B1075" s="75" t="n"/>
      <c r="E1075" s="75" t="n"/>
      <c r="G1075" s="75" t="n"/>
      <c r="H1075" s="28" t="n"/>
      <c r="J1075" s="269" t="n"/>
      <c r="K1075" s="270" t="n"/>
    </row>
    <row r="1076" ht="13" customHeight="1">
      <c r="B1076" s="75" t="n"/>
      <c r="E1076" s="75" t="n"/>
      <c r="G1076" s="75" t="n"/>
      <c r="H1076" s="28" t="n"/>
      <c r="J1076" s="269" t="n"/>
      <c r="K1076" s="270" t="n"/>
    </row>
    <row r="1077" ht="13" customHeight="1">
      <c r="B1077" s="75" t="n"/>
      <c r="E1077" s="75" t="n"/>
      <c r="G1077" s="75" t="n"/>
      <c r="H1077" s="28" t="n"/>
      <c r="J1077" s="269" t="n"/>
      <c r="K1077" s="270" t="n"/>
    </row>
    <row r="1078" ht="13" customHeight="1">
      <c r="B1078" s="75" t="n"/>
      <c r="E1078" s="75" t="n"/>
      <c r="G1078" s="75" t="n"/>
      <c r="H1078" s="28" t="n"/>
      <c r="J1078" s="269" t="n"/>
      <c r="K1078" s="270" t="n"/>
    </row>
    <row r="1079" ht="13" customHeight="1">
      <c r="B1079" s="75" t="n"/>
      <c r="E1079" s="75" t="n"/>
      <c r="G1079" s="75" t="n"/>
      <c r="H1079" s="28" t="n"/>
      <c r="J1079" s="269" t="n"/>
      <c r="K1079" s="270" t="n"/>
    </row>
    <row r="1080" ht="13" customHeight="1">
      <c r="B1080" s="75" t="n"/>
      <c r="E1080" s="75" t="n"/>
      <c r="G1080" s="75" t="n"/>
      <c r="H1080" s="28" t="n"/>
      <c r="J1080" s="269" t="n"/>
      <c r="K1080" s="270" t="n"/>
    </row>
    <row r="1081" ht="13" customHeight="1">
      <c r="B1081" s="75" t="n"/>
      <c r="E1081" s="75" t="n"/>
      <c r="G1081" s="75" t="n"/>
      <c r="H1081" s="28" t="n"/>
      <c r="J1081" s="269" t="n"/>
      <c r="K1081" s="270" t="n"/>
    </row>
    <row r="1082" ht="13" customHeight="1">
      <c r="B1082" s="75" t="n"/>
      <c r="E1082" s="75" t="n"/>
      <c r="G1082" s="75" t="n"/>
      <c r="H1082" s="28" t="n"/>
      <c r="J1082" s="269" t="n"/>
      <c r="K1082" s="270" t="n"/>
    </row>
    <row r="1083" ht="13" customHeight="1">
      <c r="B1083" s="75" t="n"/>
      <c r="E1083" s="75" t="n"/>
      <c r="G1083" s="75" t="n"/>
      <c r="H1083" s="28" t="n"/>
      <c r="J1083" s="269" t="n"/>
      <c r="K1083" s="270" t="n"/>
    </row>
    <row r="1084" ht="13" customHeight="1">
      <c r="B1084" s="75" t="n"/>
      <c r="E1084" s="75" t="n"/>
      <c r="G1084" s="75" t="n"/>
      <c r="H1084" s="28" t="n"/>
      <c r="J1084" s="269" t="n"/>
      <c r="K1084" s="270" t="n"/>
    </row>
    <row r="1085" ht="13" customHeight="1">
      <c r="B1085" s="75" t="n"/>
      <c r="E1085" s="75" t="n"/>
      <c r="G1085" s="75" t="n"/>
      <c r="H1085" s="28" t="n"/>
      <c r="J1085" s="269" t="n"/>
      <c r="K1085" s="270" t="n"/>
    </row>
    <row r="1086" ht="13" customHeight="1">
      <c r="B1086" s="75" t="n"/>
      <c r="E1086" s="75" t="n"/>
      <c r="G1086" s="75" t="n"/>
      <c r="H1086" s="28" t="n"/>
      <c r="J1086" s="269" t="n"/>
      <c r="K1086" s="270" t="n"/>
    </row>
    <row r="1087" ht="13" customHeight="1">
      <c r="B1087" s="75" t="n"/>
      <c r="E1087" s="75" t="n"/>
      <c r="G1087" s="75" t="n"/>
      <c r="H1087" s="28" t="n"/>
      <c r="J1087" s="269" t="n"/>
      <c r="K1087" s="270" t="n"/>
    </row>
    <row r="1088" ht="13" customHeight="1">
      <c r="B1088" s="75" t="n"/>
      <c r="E1088" s="75" t="n"/>
      <c r="G1088" s="75" t="n"/>
      <c r="H1088" s="28" t="n"/>
      <c r="J1088" s="269" t="n"/>
      <c r="K1088" s="270" t="n"/>
    </row>
    <row r="1089" ht="13" customHeight="1">
      <c r="B1089" s="75" t="n"/>
      <c r="E1089" s="75" t="n"/>
      <c r="G1089" s="75" t="n"/>
      <c r="H1089" s="28" t="n"/>
      <c r="J1089" s="269" t="n"/>
      <c r="K1089" s="270" t="n"/>
    </row>
    <row r="1090" ht="13" customHeight="1">
      <c r="B1090" s="75" t="n"/>
      <c r="E1090" s="75" t="n"/>
      <c r="G1090" s="75" t="n"/>
      <c r="H1090" s="28" t="n"/>
      <c r="J1090" s="269" t="n"/>
      <c r="K1090" s="270" t="n"/>
    </row>
    <row r="1091" ht="13" customHeight="1">
      <c r="B1091" s="75" t="n"/>
      <c r="E1091" s="75" t="n"/>
      <c r="G1091" s="75" t="n"/>
      <c r="H1091" s="28" t="n"/>
      <c r="J1091" s="269" t="n"/>
      <c r="K1091" s="270" t="n"/>
    </row>
    <row r="1092" ht="13" customHeight="1">
      <c r="B1092" s="75" t="n"/>
      <c r="E1092" s="75" t="n"/>
      <c r="G1092" s="75" t="n"/>
      <c r="H1092" s="28" t="n"/>
      <c r="J1092" s="269" t="n"/>
      <c r="K1092" s="270" t="n"/>
    </row>
    <row r="1093" ht="13" customHeight="1">
      <c r="B1093" s="75" t="n"/>
      <c r="E1093" s="75" t="n"/>
      <c r="G1093" s="75" t="n"/>
      <c r="H1093" s="28" t="n"/>
      <c r="J1093" s="269" t="n"/>
      <c r="K1093" s="270" t="n"/>
    </row>
    <row r="1094" ht="13" customHeight="1">
      <c r="B1094" s="75" t="n"/>
      <c r="E1094" s="75" t="n"/>
      <c r="G1094" s="75" t="n"/>
      <c r="H1094" s="28" t="n"/>
      <c r="J1094" s="269" t="n"/>
      <c r="K1094" s="270" t="n"/>
    </row>
    <row r="1095" ht="13" customHeight="1">
      <c r="B1095" s="75" t="n"/>
      <c r="E1095" s="75" t="n"/>
      <c r="G1095" s="75" t="n"/>
      <c r="H1095" s="28" t="n"/>
      <c r="J1095" s="269" t="n"/>
      <c r="K1095" s="270" t="n"/>
    </row>
    <row r="1096" ht="13" customHeight="1">
      <c r="B1096" s="75" t="n"/>
      <c r="E1096" s="75" t="n"/>
      <c r="G1096" s="75" t="n"/>
      <c r="H1096" s="28" t="n"/>
      <c r="J1096" s="269" t="n"/>
      <c r="K1096" s="270" t="n"/>
    </row>
    <row r="1097" ht="13" customHeight="1">
      <c r="B1097" s="75" t="n"/>
      <c r="E1097" s="75" t="n"/>
      <c r="G1097" s="75" t="n"/>
      <c r="H1097" s="28" t="n"/>
      <c r="J1097" s="269" t="n"/>
      <c r="K1097" s="270" t="n"/>
    </row>
    <row r="1098" ht="13" customHeight="1">
      <c r="B1098" s="75" t="n"/>
      <c r="E1098" s="75" t="n"/>
      <c r="G1098" s="75" t="n"/>
      <c r="H1098" s="28" t="n"/>
      <c r="J1098" s="269" t="n"/>
      <c r="K1098" s="270" t="n"/>
    </row>
    <row r="1099" ht="13" customHeight="1">
      <c r="B1099" s="75" t="n"/>
      <c r="E1099" s="75" t="n"/>
      <c r="G1099" s="75" t="n"/>
      <c r="H1099" s="28" t="n"/>
      <c r="J1099" s="269" t="n"/>
      <c r="K1099" s="270" t="n"/>
    </row>
    <row r="1100" ht="13" customHeight="1">
      <c r="B1100" s="75" t="n"/>
      <c r="E1100" s="75" t="n"/>
      <c r="G1100" s="75" t="n"/>
      <c r="H1100" s="28" t="n"/>
      <c r="J1100" s="269" t="n"/>
      <c r="K1100" s="270" t="n"/>
    </row>
    <row r="1101" ht="13" customHeight="1">
      <c r="B1101" s="75" t="n"/>
      <c r="E1101" s="75" t="n"/>
      <c r="G1101" s="75" t="n"/>
      <c r="H1101" s="28" t="n"/>
      <c r="J1101" s="269" t="n"/>
      <c r="K1101" s="270" t="n"/>
    </row>
    <row r="1102" ht="13" customHeight="1">
      <c r="B1102" s="75" t="n"/>
      <c r="E1102" s="75" t="n"/>
      <c r="G1102" s="75" t="n"/>
      <c r="H1102" s="28" t="n"/>
      <c r="J1102" s="269" t="n"/>
      <c r="K1102" s="270" t="n"/>
    </row>
    <row r="1103" ht="13" customHeight="1">
      <c r="B1103" s="75" t="n"/>
      <c r="E1103" s="75" t="n"/>
      <c r="G1103" s="75" t="n"/>
      <c r="H1103" s="28" t="n"/>
      <c r="J1103" s="269" t="n"/>
      <c r="K1103" s="270" t="n"/>
    </row>
    <row r="1104" ht="13" customHeight="1">
      <c r="B1104" s="75" t="n"/>
      <c r="E1104" s="75" t="n"/>
      <c r="G1104" s="75" t="n"/>
      <c r="H1104" s="28" t="n"/>
      <c r="J1104" s="269" t="n"/>
      <c r="K1104" s="270" t="n"/>
    </row>
    <row r="1105" ht="13" customHeight="1">
      <c r="B1105" s="75" t="n"/>
      <c r="E1105" s="75" t="n"/>
      <c r="G1105" s="75" t="n"/>
      <c r="H1105" s="28" t="n"/>
      <c r="J1105" s="269" t="n"/>
      <c r="K1105" s="270" t="n"/>
    </row>
    <row r="1106" ht="13" customHeight="1">
      <c r="B1106" s="75" t="n"/>
      <c r="E1106" s="75" t="n"/>
      <c r="G1106" s="75" t="n"/>
      <c r="H1106" s="28" t="n"/>
      <c r="J1106" s="269" t="n"/>
      <c r="K1106" s="270" t="n"/>
    </row>
    <row r="1107" ht="13" customHeight="1">
      <c r="B1107" s="75" t="n"/>
      <c r="E1107" s="75" t="n"/>
      <c r="G1107" s="75" t="n"/>
      <c r="H1107" s="28" t="n"/>
      <c r="J1107" s="269" t="n"/>
      <c r="K1107" s="270" t="n"/>
    </row>
    <row r="1108" ht="13" customHeight="1">
      <c r="B1108" s="75" t="n"/>
      <c r="E1108" s="75" t="n"/>
      <c r="G1108" s="75" t="n"/>
      <c r="H1108" s="28" t="n"/>
      <c r="J1108" s="269" t="n"/>
      <c r="K1108" s="270" t="n"/>
    </row>
    <row r="1109" ht="13" customHeight="1">
      <c r="B1109" s="75" t="n"/>
      <c r="E1109" s="75" t="n"/>
      <c r="G1109" s="75" t="n"/>
      <c r="H1109" s="28" t="n"/>
      <c r="J1109" s="269" t="n"/>
      <c r="K1109" s="270" t="n"/>
    </row>
    <row r="1110" ht="13" customHeight="1">
      <c r="B1110" s="75" t="n"/>
      <c r="E1110" s="75" t="n"/>
      <c r="G1110" s="75" t="n"/>
      <c r="H1110" s="28" t="n"/>
      <c r="J1110" s="269" t="n"/>
      <c r="K1110" s="270" t="n"/>
    </row>
    <row r="1111" ht="13" customHeight="1">
      <c r="B1111" s="75" t="n"/>
      <c r="E1111" s="75" t="n"/>
      <c r="G1111" s="75" t="n"/>
      <c r="H1111" s="28" t="n"/>
      <c r="J1111" s="269" t="n"/>
      <c r="K1111" s="270" t="n"/>
    </row>
    <row r="1112" ht="13" customHeight="1">
      <c r="B1112" s="75" t="n"/>
      <c r="E1112" s="75" t="n"/>
      <c r="G1112" s="75" t="n"/>
      <c r="H1112" s="28" t="n"/>
      <c r="J1112" s="269" t="n"/>
      <c r="K1112" s="270" t="n"/>
    </row>
    <row r="1113" ht="13" customHeight="1">
      <c r="B1113" s="75" t="n"/>
      <c r="E1113" s="75" t="n"/>
      <c r="G1113" s="75" t="n"/>
      <c r="H1113" s="28" t="n"/>
      <c r="J1113" s="269" t="n"/>
      <c r="K1113" s="270" t="n"/>
    </row>
    <row r="1114" ht="13" customHeight="1">
      <c r="B1114" s="75" t="n"/>
      <c r="E1114" s="75" t="n"/>
      <c r="G1114" s="75" t="n"/>
      <c r="H1114" s="28" t="n"/>
      <c r="J1114" s="269" t="n"/>
      <c r="K1114" s="270" t="n"/>
    </row>
    <row r="1115" ht="13" customHeight="1">
      <c r="B1115" s="75" t="n"/>
      <c r="E1115" s="75" t="n"/>
      <c r="G1115" s="75" t="n"/>
      <c r="H1115" s="28" t="n"/>
      <c r="J1115" s="269" t="n"/>
      <c r="K1115" s="270" t="n"/>
    </row>
    <row r="1116" ht="13" customHeight="1">
      <c r="B1116" s="75" t="n"/>
      <c r="E1116" s="75" t="n"/>
      <c r="G1116" s="75" t="n"/>
      <c r="H1116" s="28" t="n"/>
      <c r="J1116" s="269" t="n"/>
      <c r="K1116" s="270" t="n"/>
    </row>
    <row r="1117" ht="13" customHeight="1">
      <c r="B1117" s="75" t="n"/>
      <c r="E1117" s="75" t="n"/>
      <c r="G1117" s="75" t="n"/>
      <c r="H1117" s="28" t="n"/>
      <c r="J1117" s="269" t="n"/>
      <c r="K1117" s="270" t="n"/>
    </row>
    <row r="1118" ht="13" customHeight="1">
      <c r="B1118" s="75" t="n"/>
      <c r="E1118" s="75" t="n"/>
      <c r="G1118" s="75" t="n"/>
      <c r="H1118" s="28" t="n"/>
      <c r="J1118" s="269" t="n"/>
      <c r="K1118" s="270" t="n"/>
    </row>
    <row r="1119" ht="13" customHeight="1">
      <c r="B1119" s="75" t="n"/>
      <c r="E1119" s="75" t="n"/>
      <c r="G1119" s="75" t="n"/>
      <c r="H1119" s="28" t="n"/>
      <c r="J1119" s="269" t="n"/>
      <c r="K1119" s="270" t="n"/>
    </row>
    <row r="1120" ht="13" customHeight="1">
      <c r="B1120" s="75" t="n"/>
      <c r="E1120" s="75" t="n"/>
      <c r="G1120" s="75" t="n"/>
      <c r="H1120" s="28" t="n"/>
      <c r="J1120" s="269" t="n"/>
      <c r="K1120" s="270" t="n"/>
    </row>
    <row r="1121" ht="13" customHeight="1">
      <c r="B1121" s="75" t="n"/>
      <c r="E1121" s="75" t="n"/>
      <c r="G1121" s="75" t="n"/>
      <c r="H1121" s="28" t="n"/>
      <c r="J1121" s="269" t="n"/>
      <c r="K1121" s="270" t="n"/>
    </row>
    <row r="1122" ht="13" customHeight="1">
      <c r="B1122" s="75" t="n"/>
      <c r="E1122" s="75" t="n"/>
      <c r="G1122" s="75" t="n"/>
      <c r="H1122" s="28" t="n"/>
      <c r="J1122" s="269" t="n"/>
      <c r="K1122" s="270" t="n"/>
    </row>
    <row r="1123" ht="13" customHeight="1">
      <c r="B1123" s="75" t="n"/>
      <c r="E1123" s="75" t="n"/>
      <c r="G1123" s="75" t="n"/>
      <c r="H1123" s="28" t="n"/>
      <c r="J1123" s="269" t="n"/>
      <c r="K1123" s="270" t="n"/>
    </row>
    <row r="1124" ht="13" customHeight="1">
      <c r="B1124" s="75" t="n"/>
      <c r="E1124" s="75" t="n"/>
      <c r="G1124" s="75" t="n"/>
      <c r="H1124" s="28" t="n"/>
      <c r="J1124" s="269" t="n"/>
      <c r="K1124" s="270" t="n"/>
    </row>
    <row r="1125" ht="13" customHeight="1">
      <c r="B1125" s="75" t="n"/>
      <c r="E1125" s="75" t="n"/>
      <c r="G1125" s="75" t="n"/>
      <c r="H1125" s="28" t="n"/>
      <c r="J1125" s="269" t="n"/>
      <c r="K1125" s="270" t="n"/>
    </row>
    <row r="1126" ht="13" customHeight="1">
      <c r="B1126" s="75" t="n"/>
      <c r="E1126" s="75" t="n"/>
      <c r="G1126" s="75" t="n"/>
      <c r="H1126" s="28" t="n"/>
      <c r="J1126" s="269" t="n"/>
      <c r="K1126" s="270" t="n"/>
    </row>
    <row r="1127" ht="13" customHeight="1">
      <c r="B1127" s="75" t="n"/>
      <c r="E1127" s="75" t="n"/>
      <c r="G1127" s="75" t="n"/>
      <c r="H1127" s="28" t="n"/>
      <c r="J1127" s="269" t="n"/>
      <c r="K1127" s="270" t="n"/>
    </row>
    <row r="1128" ht="13" customHeight="1">
      <c r="B1128" s="75" t="n"/>
      <c r="E1128" s="75" t="n"/>
      <c r="G1128" s="75" t="n"/>
      <c r="H1128" s="28" t="n"/>
      <c r="J1128" s="269" t="n"/>
      <c r="K1128" s="270" t="n"/>
    </row>
    <row r="1129" ht="13" customHeight="1">
      <c r="B1129" s="75" t="n"/>
      <c r="E1129" s="75" t="n"/>
      <c r="G1129" s="75" t="n"/>
      <c r="H1129" s="28" t="n"/>
      <c r="J1129" s="269" t="n"/>
      <c r="K1129" s="270" t="n"/>
    </row>
    <row r="1130" ht="13" customHeight="1">
      <c r="B1130" s="75" t="n"/>
      <c r="E1130" s="75" t="n"/>
      <c r="G1130" s="75" t="n"/>
      <c r="H1130" s="28" t="n"/>
      <c r="J1130" s="269" t="n"/>
      <c r="K1130" s="270" t="n"/>
    </row>
    <row r="1131" ht="13" customHeight="1">
      <c r="B1131" s="75" t="n"/>
      <c r="E1131" s="75" t="n"/>
      <c r="G1131" s="75" t="n"/>
      <c r="H1131" s="28" t="n"/>
      <c r="J1131" s="269" t="n"/>
      <c r="K1131" s="270" t="n"/>
    </row>
    <row r="1132" ht="13" customHeight="1">
      <c r="B1132" s="75" t="n"/>
      <c r="E1132" s="75" t="n"/>
      <c r="G1132" s="75" t="n"/>
      <c r="H1132" s="28" t="n"/>
      <c r="J1132" s="269" t="n"/>
      <c r="K1132" s="270" t="n"/>
    </row>
    <row r="1133" ht="13" customHeight="1">
      <c r="B1133" s="75" t="n"/>
      <c r="E1133" s="75" t="n"/>
      <c r="G1133" s="75" t="n"/>
      <c r="H1133" s="28" t="n"/>
      <c r="J1133" s="269" t="n"/>
      <c r="K1133" s="270" t="n"/>
    </row>
    <row r="1134" ht="13" customHeight="1">
      <c r="B1134" s="75" t="n"/>
      <c r="E1134" s="75" t="n"/>
      <c r="G1134" s="75" t="n"/>
      <c r="H1134" s="28" t="n"/>
      <c r="J1134" s="269" t="n"/>
      <c r="K1134" s="270" t="n"/>
    </row>
    <row r="1135" ht="13" customHeight="1">
      <c r="B1135" s="75" t="n"/>
      <c r="E1135" s="75" t="n"/>
      <c r="G1135" s="75" t="n"/>
      <c r="H1135" s="28" t="n"/>
      <c r="J1135" s="269" t="n"/>
      <c r="K1135" s="270" t="n"/>
    </row>
    <row r="1136" ht="13" customHeight="1">
      <c r="B1136" s="75" t="n"/>
      <c r="E1136" s="75" t="n"/>
      <c r="G1136" s="75" t="n"/>
      <c r="H1136" s="28" t="n"/>
      <c r="J1136" s="269" t="n"/>
      <c r="K1136" s="270" t="n"/>
    </row>
    <row r="1137" ht="13" customHeight="1">
      <c r="B1137" s="75" t="n"/>
      <c r="E1137" s="75" t="n"/>
      <c r="G1137" s="75" t="n"/>
      <c r="H1137" s="28" t="n"/>
      <c r="J1137" s="269" t="n"/>
      <c r="K1137" s="270" t="n"/>
    </row>
    <row r="1138" ht="13" customHeight="1">
      <c r="B1138" s="75" t="n"/>
      <c r="E1138" s="75" t="n"/>
      <c r="G1138" s="75" t="n"/>
      <c r="H1138" s="28" t="n"/>
      <c r="J1138" s="269" t="n"/>
      <c r="K1138" s="270" t="n"/>
    </row>
    <row r="1139" ht="13" customHeight="1">
      <c r="B1139" s="75" t="n"/>
      <c r="E1139" s="75" t="n"/>
      <c r="G1139" s="75" t="n"/>
      <c r="H1139" s="28" t="n"/>
      <c r="J1139" s="269" t="n"/>
      <c r="K1139" s="270" t="n"/>
    </row>
    <row r="1140" ht="13" customHeight="1">
      <c r="B1140" s="75" t="n"/>
      <c r="E1140" s="75" t="n"/>
      <c r="G1140" s="75" t="n"/>
      <c r="H1140" s="28" t="n"/>
      <c r="J1140" s="269" t="n"/>
      <c r="K1140" s="270" t="n"/>
    </row>
    <row r="1141" ht="13" customHeight="1">
      <c r="B1141" s="75" t="n"/>
      <c r="E1141" s="75" t="n"/>
      <c r="G1141" s="75" t="n"/>
      <c r="H1141" s="28" t="n"/>
      <c r="J1141" s="269" t="n"/>
      <c r="K1141" s="270" t="n"/>
    </row>
    <row r="1142" ht="13" customHeight="1">
      <c r="B1142" s="75" t="n"/>
      <c r="E1142" s="75" t="n"/>
      <c r="G1142" s="75" t="n"/>
      <c r="H1142" s="28" t="n"/>
      <c r="J1142" s="269" t="n"/>
      <c r="K1142" s="270" t="n"/>
    </row>
    <row r="1143" ht="13" customHeight="1">
      <c r="B1143" s="75" t="n"/>
      <c r="E1143" s="75" t="n"/>
      <c r="G1143" s="75" t="n"/>
      <c r="H1143" s="28" t="n"/>
      <c r="J1143" s="269" t="n"/>
      <c r="K1143" s="270" t="n"/>
    </row>
    <row r="1144" ht="13" customHeight="1">
      <c r="B1144" s="75" t="n"/>
      <c r="E1144" s="75" t="n"/>
      <c r="G1144" s="75" t="n"/>
      <c r="H1144" s="28" t="n"/>
      <c r="J1144" s="269" t="n"/>
      <c r="K1144" s="270" t="n"/>
    </row>
    <row r="1145" ht="13" customHeight="1">
      <c r="B1145" s="75" t="n"/>
      <c r="E1145" s="75" t="n"/>
      <c r="G1145" s="75" t="n"/>
      <c r="H1145" s="28" t="n"/>
      <c r="J1145" s="269" t="n"/>
      <c r="K1145" s="270" t="n"/>
    </row>
    <row r="1146" ht="13" customHeight="1">
      <c r="B1146" s="75" t="n"/>
      <c r="E1146" s="75" t="n"/>
      <c r="G1146" s="75" t="n"/>
      <c r="H1146" s="28" t="n"/>
      <c r="J1146" s="269" t="n"/>
      <c r="K1146" s="270" t="n"/>
    </row>
    <row r="1147" ht="13" customHeight="1">
      <c r="B1147" s="75" t="n"/>
      <c r="E1147" s="75" t="n"/>
      <c r="G1147" s="75" t="n"/>
      <c r="H1147" s="28" t="n"/>
      <c r="J1147" s="269" t="n"/>
      <c r="K1147" s="270" t="n"/>
    </row>
    <row r="1148" ht="13" customHeight="1">
      <c r="B1148" s="75" t="n"/>
      <c r="E1148" s="75" t="n"/>
      <c r="G1148" s="75" t="n"/>
      <c r="H1148" s="28" t="n"/>
      <c r="J1148" s="269" t="n"/>
      <c r="K1148" s="270" t="n"/>
    </row>
    <row r="1149" ht="13" customHeight="1">
      <c r="B1149" s="75" t="n"/>
      <c r="E1149" s="75" t="n"/>
      <c r="G1149" s="75" t="n"/>
      <c r="H1149" s="28" t="n"/>
      <c r="J1149" s="269" t="n"/>
      <c r="K1149" s="270" t="n"/>
    </row>
    <row r="1150" ht="13" customHeight="1">
      <c r="B1150" s="75" t="n"/>
      <c r="E1150" s="75" t="n"/>
      <c r="G1150" s="75" t="n"/>
      <c r="H1150" s="28" t="n"/>
      <c r="J1150" s="269" t="n"/>
      <c r="K1150" s="270" t="n"/>
    </row>
    <row r="1151" ht="13" customHeight="1">
      <c r="B1151" s="75" t="n"/>
      <c r="E1151" s="75" t="n"/>
      <c r="G1151" s="75" t="n"/>
      <c r="H1151" s="28" t="n"/>
      <c r="J1151" s="269" t="n"/>
      <c r="K1151" s="270" t="n"/>
    </row>
    <row r="1152" ht="13" customHeight="1">
      <c r="B1152" s="75" t="n"/>
      <c r="E1152" s="75" t="n"/>
      <c r="G1152" s="75" t="n"/>
      <c r="H1152" s="28" t="n"/>
      <c r="J1152" s="269" t="n"/>
      <c r="K1152" s="270" t="n"/>
    </row>
    <row r="1153" ht="13" customHeight="1">
      <c r="B1153" s="75" t="n"/>
      <c r="E1153" s="75" t="n"/>
      <c r="G1153" s="75" t="n"/>
      <c r="H1153" s="28" t="n"/>
      <c r="J1153" s="269" t="n"/>
      <c r="K1153" s="270" t="n"/>
    </row>
    <row r="1154" ht="13" customHeight="1">
      <c r="B1154" s="75" t="n"/>
      <c r="E1154" s="75" t="n"/>
      <c r="G1154" s="75" t="n"/>
      <c r="H1154" s="28" t="n"/>
      <c r="J1154" s="269" t="n"/>
      <c r="K1154" s="270" t="n"/>
    </row>
    <row r="1155" ht="13" customHeight="1">
      <c r="B1155" s="75" t="n"/>
      <c r="E1155" s="75" t="n"/>
      <c r="G1155" s="75" t="n"/>
      <c r="H1155" s="28" t="n"/>
      <c r="J1155" s="269" t="n"/>
      <c r="K1155" s="270" t="n"/>
    </row>
    <row r="1156" ht="13" customHeight="1">
      <c r="B1156" s="75" t="n"/>
      <c r="E1156" s="75" t="n"/>
      <c r="G1156" s="75" t="n"/>
      <c r="H1156" s="28" t="n"/>
      <c r="J1156" s="269" t="n"/>
      <c r="K1156" s="270" t="n"/>
    </row>
    <row r="1157" ht="13" customHeight="1">
      <c r="B1157" s="75" t="n"/>
      <c r="E1157" s="75" t="n"/>
      <c r="G1157" s="75" t="n"/>
      <c r="H1157" s="28" t="n"/>
      <c r="J1157" s="269" t="n"/>
      <c r="K1157" s="270" t="n"/>
    </row>
    <row r="1158" ht="13" customHeight="1">
      <c r="B1158" s="75" t="n"/>
      <c r="E1158" s="75" t="n"/>
      <c r="G1158" s="75" t="n"/>
      <c r="H1158" s="28" t="n"/>
      <c r="J1158" s="269" t="n"/>
      <c r="K1158" s="270" t="n"/>
    </row>
    <row r="1159" ht="13" customHeight="1">
      <c r="B1159" s="75" t="n"/>
      <c r="E1159" s="75" t="n"/>
      <c r="G1159" s="75" t="n"/>
      <c r="H1159" s="28" t="n"/>
      <c r="J1159" s="269" t="n"/>
      <c r="K1159" s="270" t="n"/>
    </row>
    <row r="1160" ht="13" customHeight="1">
      <c r="B1160" s="75" t="n"/>
      <c r="E1160" s="75" t="n"/>
      <c r="G1160" s="75" t="n"/>
      <c r="H1160" s="28" t="n"/>
      <c r="J1160" s="269" t="n"/>
      <c r="K1160" s="270" t="n"/>
    </row>
    <row r="1161" ht="13" customHeight="1">
      <c r="B1161" s="75" t="n"/>
      <c r="E1161" s="75" t="n"/>
      <c r="G1161" s="75" t="n"/>
      <c r="H1161" s="28" t="n"/>
      <c r="J1161" s="269" t="n"/>
      <c r="K1161" s="270" t="n"/>
    </row>
    <row r="1162" ht="13" customHeight="1">
      <c r="B1162" s="75" t="n"/>
      <c r="E1162" s="75" t="n"/>
      <c r="G1162" s="75" t="n"/>
      <c r="H1162" s="28" t="n"/>
      <c r="J1162" s="269" t="n"/>
      <c r="K1162" s="270" t="n"/>
    </row>
    <row r="1163" ht="13" customHeight="1">
      <c r="B1163" s="75" t="n"/>
      <c r="E1163" s="75" t="n"/>
      <c r="G1163" s="75" t="n"/>
      <c r="H1163" s="28" t="n"/>
      <c r="J1163" s="269" t="n"/>
      <c r="K1163" s="270" t="n"/>
    </row>
    <row r="1164" ht="13" customHeight="1">
      <c r="B1164" s="75" t="n"/>
      <c r="E1164" s="75" t="n"/>
      <c r="G1164" s="75" t="n"/>
      <c r="H1164" s="28" t="n"/>
      <c r="J1164" s="269" t="n"/>
      <c r="K1164" s="270" t="n"/>
    </row>
    <row r="1165" ht="13" customHeight="1">
      <c r="B1165" s="75" t="n"/>
      <c r="E1165" s="75" t="n"/>
      <c r="G1165" s="75" t="n"/>
      <c r="H1165" s="28" t="n"/>
      <c r="J1165" s="269" t="n"/>
      <c r="K1165" s="270" t="n"/>
    </row>
    <row r="1166" ht="13" customHeight="1">
      <c r="B1166" s="75" t="n"/>
      <c r="E1166" s="75" t="n"/>
      <c r="G1166" s="75" t="n"/>
      <c r="H1166" s="28" t="n"/>
      <c r="J1166" s="269" t="n"/>
      <c r="K1166" s="270" t="n"/>
    </row>
    <row r="1167" ht="13" customHeight="1">
      <c r="B1167" s="75" t="n"/>
      <c r="E1167" s="75" t="n"/>
      <c r="G1167" s="75" t="n"/>
      <c r="H1167" s="28" t="n"/>
      <c r="J1167" s="269" t="n"/>
      <c r="K1167" s="270" t="n"/>
    </row>
    <row r="1168" ht="13" customHeight="1">
      <c r="B1168" s="75" t="n"/>
      <c r="E1168" s="75" t="n"/>
      <c r="G1168" s="75" t="n"/>
      <c r="H1168" s="28" t="n"/>
      <c r="J1168" s="269" t="n"/>
      <c r="K1168" s="270" t="n"/>
    </row>
    <row r="1169" ht="13" customHeight="1">
      <c r="B1169" s="75" t="n"/>
      <c r="E1169" s="75" t="n"/>
      <c r="G1169" s="75" t="n"/>
      <c r="H1169" s="28" t="n"/>
      <c r="J1169" s="269" t="n"/>
      <c r="K1169" s="270" t="n"/>
    </row>
    <row r="1170" ht="13" customHeight="1">
      <c r="B1170" s="75" t="n"/>
      <c r="E1170" s="75" t="n"/>
      <c r="G1170" s="75" t="n"/>
      <c r="H1170" s="28" t="n"/>
      <c r="J1170" s="269" t="n"/>
      <c r="K1170" s="270" t="n"/>
    </row>
    <row r="1171" ht="13" customHeight="1">
      <c r="B1171" s="75" t="n"/>
      <c r="E1171" s="75" t="n"/>
      <c r="G1171" s="75" t="n"/>
      <c r="H1171" s="28" t="n"/>
      <c r="J1171" s="269" t="n"/>
      <c r="K1171" s="270" t="n"/>
    </row>
    <row r="1172" ht="13" customHeight="1">
      <c r="B1172" s="75" t="n"/>
      <c r="E1172" s="75" t="n"/>
      <c r="G1172" s="75" t="n"/>
      <c r="H1172" s="28" t="n"/>
      <c r="J1172" s="269" t="n"/>
      <c r="K1172" s="270" t="n"/>
    </row>
    <row r="1173" ht="13" customHeight="1">
      <c r="B1173" s="75" t="n"/>
      <c r="E1173" s="75" t="n"/>
      <c r="G1173" s="75" t="n"/>
      <c r="H1173" s="28" t="n"/>
      <c r="J1173" s="269" t="n"/>
      <c r="K1173" s="270" t="n"/>
    </row>
    <row r="1174" ht="13" customHeight="1">
      <c r="B1174" s="75" t="n"/>
      <c r="E1174" s="75" t="n"/>
      <c r="G1174" s="75" t="n"/>
      <c r="H1174" s="28" t="n"/>
      <c r="J1174" s="269" t="n"/>
      <c r="K1174" s="270" t="n"/>
    </row>
    <row r="1175" ht="13" customHeight="1">
      <c r="B1175" s="75" t="n"/>
      <c r="E1175" s="75" t="n"/>
      <c r="G1175" s="75" t="n"/>
      <c r="H1175" s="28" t="n"/>
      <c r="J1175" s="269" t="n"/>
      <c r="K1175" s="270" t="n"/>
    </row>
    <row r="1176" ht="13" customHeight="1">
      <c r="B1176" s="75" t="n"/>
      <c r="E1176" s="75" t="n"/>
      <c r="G1176" s="75" t="n"/>
      <c r="H1176" s="28" t="n"/>
      <c r="J1176" s="269" t="n"/>
      <c r="K1176" s="270" t="n"/>
    </row>
    <row r="1177" ht="13" customHeight="1">
      <c r="B1177" s="75" t="n"/>
      <c r="E1177" s="75" t="n"/>
      <c r="G1177" s="75" t="n"/>
      <c r="H1177" s="28" t="n"/>
      <c r="J1177" s="269" t="n"/>
      <c r="K1177" s="270" t="n"/>
    </row>
    <row r="1178" ht="13" customHeight="1">
      <c r="B1178" s="75" t="n"/>
      <c r="E1178" s="75" t="n"/>
      <c r="G1178" s="75" t="n"/>
      <c r="H1178" s="28" t="n"/>
      <c r="J1178" s="269" t="n"/>
      <c r="K1178" s="270" t="n"/>
    </row>
    <row r="1179" ht="13" customHeight="1">
      <c r="B1179" s="75" t="n"/>
      <c r="E1179" s="75" t="n"/>
      <c r="G1179" s="75" t="n"/>
      <c r="H1179" s="28" t="n"/>
      <c r="J1179" s="269" t="n"/>
      <c r="K1179" s="270" t="n"/>
    </row>
    <row r="1180" ht="13" customHeight="1">
      <c r="B1180" s="75" t="n"/>
      <c r="E1180" s="75" t="n"/>
      <c r="G1180" s="75" t="n"/>
      <c r="H1180" s="28" t="n"/>
      <c r="J1180" s="269" t="n"/>
      <c r="K1180" s="270" t="n"/>
    </row>
    <row r="1181" ht="13" customHeight="1">
      <c r="B1181" s="75" t="n"/>
      <c r="E1181" s="75" t="n"/>
      <c r="G1181" s="75" t="n"/>
      <c r="H1181" s="28" t="n"/>
      <c r="J1181" s="269" t="n"/>
      <c r="K1181" s="270" t="n"/>
    </row>
    <row r="1182" ht="13" customHeight="1">
      <c r="B1182" s="75" t="n"/>
      <c r="E1182" s="75" t="n"/>
      <c r="G1182" s="75" t="n"/>
      <c r="H1182" s="28" t="n"/>
      <c r="J1182" s="269" t="n"/>
      <c r="K1182" s="270" t="n"/>
    </row>
    <row r="1183" ht="13" customHeight="1">
      <c r="B1183" s="75" t="n"/>
      <c r="E1183" s="75" t="n"/>
      <c r="G1183" s="75" t="n"/>
      <c r="H1183" s="28" t="n"/>
      <c r="J1183" s="269" t="n"/>
      <c r="K1183" s="270" t="n"/>
    </row>
    <row r="1184" ht="13" customHeight="1">
      <c r="B1184" s="75" t="n"/>
      <c r="E1184" s="75" t="n"/>
      <c r="G1184" s="75" t="n"/>
      <c r="H1184" s="28" t="n"/>
      <c r="J1184" s="269" t="n"/>
      <c r="K1184" s="270" t="n"/>
    </row>
    <row r="1185" ht="13" customHeight="1">
      <c r="B1185" s="75" t="n"/>
      <c r="E1185" s="75" t="n"/>
      <c r="G1185" s="75" t="n"/>
      <c r="H1185" s="28" t="n"/>
      <c r="J1185" s="269" t="n"/>
      <c r="K1185" s="270" t="n"/>
    </row>
    <row r="1186" ht="13" customHeight="1">
      <c r="B1186" s="75" t="n"/>
      <c r="E1186" s="75" t="n"/>
      <c r="G1186" s="75" t="n"/>
      <c r="H1186" s="28" t="n"/>
      <c r="J1186" s="269" t="n"/>
      <c r="K1186" s="270" t="n"/>
    </row>
    <row r="1187" ht="13" customHeight="1">
      <c r="B1187" s="75" t="n"/>
      <c r="E1187" s="75" t="n"/>
      <c r="G1187" s="75" t="n"/>
      <c r="H1187" s="28" t="n"/>
      <c r="J1187" s="269" t="n"/>
      <c r="K1187" s="270" t="n"/>
    </row>
    <row r="1188" ht="13" customHeight="1">
      <c r="B1188" s="75" t="n"/>
      <c r="E1188" s="75" t="n"/>
      <c r="G1188" s="75" t="n"/>
      <c r="H1188" s="28" t="n"/>
      <c r="J1188" s="269" t="n"/>
      <c r="K1188" s="270" t="n"/>
    </row>
    <row r="1189" ht="13" customHeight="1">
      <c r="B1189" s="75" t="n"/>
      <c r="E1189" s="75" t="n"/>
      <c r="G1189" s="75" t="n"/>
      <c r="H1189" s="28" t="n"/>
      <c r="J1189" s="269" t="n"/>
      <c r="K1189" s="270" t="n"/>
    </row>
    <row r="1190" ht="13" customHeight="1">
      <c r="B1190" s="75" t="n"/>
      <c r="E1190" s="75" t="n"/>
      <c r="G1190" s="75" t="n"/>
      <c r="H1190" s="28" t="n"/>
      <c r="J1190" s="269" t="n"/>
      <c r="K1190" s="270" t="n"/>
    </row>
    <row r="1191" ht="13" customHeight="1">
      <c r="B1191" s="75" t="n"/>
      <c r="E1191" s="75" t="n"/>
      <c r="G1191" s="75" t="n"/>
      <c r="H1191" s="28" t="n"/>
      <c r="J1191" s="269" t="n"/>
      <c r="K1191" s="270" t="n"/>
    </row>
    <row r="1192" ht="13" customHeight="1">
      <c r="B1192" s="75" t="n"/>
      <c r="E1192" s="75" t="n"/>
      <c r="G1192" s="75" t="n"/>
      <c r="H1192" s="28" t="n"/>
      <c r="J1192" s="269" t="n"/>
      <c r="K1192" s="270" t="n"/>
    </row>
    <row r="1193" ht="13" customHeight="1">
      <c r="B1193" s="75" t="n"/>
      <c r="E1193" s="75" t="n"/>
      <c r="G1193" s="75" t="n"/>
      <c r="H1193" s="28" t="n"/>
      <c r="J1193" s="269" t="n"/>
      <c r="K1193" s="270" t="n"/>
    </row>
    <row r="1194" ht="13" customHeight="1">
      <c r="B1194" s="75" t="n"/>
      <c r="E1194" s="75" t="n"/>
      <c r="G1194" s="75" t="n"/>
      <c r="H1194" s="28" t="n"/>
      <c r="J1194" s="269" t="n"/>
      <c r="K1194" s="270" t="n"/>
    </row>
    <row r="1195" ht="13" customHeight="1">
      <c r="B1195" s="75" t="n"/>
      <c r="E1195" s="75" t="n"/>
      <c r="G1195" s="75" t="n"/>
      <c r="H1195" s="28" t="n"/>
      <c r="J1195" s="269" t="n"/>
      <c r="K1195" s="270" t="n"/>
    </row>
    <row r="1196" ht="13" customHeight="1">
      <c r="B1196" s="75" t="n"/>
      <c r="E1196" s="75" t="n"/>
      <c r="G1196" s="75" t="n"/>
      <c r="H1196" s="28" t="n"/>
      <c r="J1196" s="269" t="n"/>
      <c r="K1196" s="270" t="n"/>
    </row>
    <row r="1197" ht="13" customHeight="1">
      <c r="B1197" s="75" t="n"/>
      <c r="E1197" s="75" t="n"/>
      <c r="G1197" s="75" t="n"/>
      <c r="H1197" s="28" t="n"/>
      <c r="J1197" s="269" t="n"/>
      <c r="K1197" s="270" t="n"/>
    </row>
    <row r="1198" ht="13" customHeight="1">
      <c r="B1198" s="75" t="n"/>
      <c r="E1198" s="75" t="n"/>
      <c r="G1198" s="75" t="n"/>
      <c r="H1198" s="28" t="n"/>
      <c r="J1198" s="269" t="n"/>
      <c r="K1198" s="270" t="n"/>
    </row>
    <row r="1199" ht="13" customHeight="1">
      <c r="B1199" s="75" t="n"/>
      <c r="E1199" s="75" t="n"/>
      <c r="G1199" s="75" t="n"/>
      <c r="H1199" s="28" t="n"/>
      <c r="J1199" s="269" t="n"/>
      <c r="K1199" s="270" t="n"/>
    </row>
    <row r="1200" ht="13" customHeight="1">
      <c r="B1200" s="75" t="n"/>
      <c r="E1200" s="75" t="n"/>
      <c r="G1200" s="75" t="n"/>
      <c r="H1200" s="28" t="n"/>
      <c r="J1200" s="269" t="n"/>
      <c r="K1200" s="270" t="n"/>
    </row>
    <row r="1201" ht="13" customHeight="1">
      <c r="B1201" s="75" t="n"/>
      <c r="E1201" s="75" t="n"/>
      <c r="G1201" s="75" t="n"/>
      <c r="H1201" s="28" t="n"/>
      <c r="J1201" s="269" t="n"/>
      <c r="K1201" s="270" t="n"/>
    </row>
    <row r="1202" ht="13" customHeight="1">
      <c r="B1202" s="75" t="n"/>
      <c r="E1202" s="75" t="n"/>
      <c r="G1202" s="75" t="n"/>
      <c r="H1202" s="28" t="n"/>
      <c r="J1202" s="269" t="n"/>
      <c r="K1202" s="270" t="n"/>
    </row>
    <row r="1203" ht="13" customHeight="1">
      <c r="B1203" s="75" t="n"/>
      <c r="E1203" s="75" t="n"/>
      <c r="G1203" s="75" t="n"/>
      <c r="H1203" s="28" t="n"/>
      <c r="J1203" s="269" t="n"/>
      <c r="K1203" s="270" t="n"/>
    </row>
    <row r="1204" ht="13" customHeight="1">
      <c r="B1204" s="75" t="n"/>
      <c r="E1204" s="75" t="n"/>
      <c r="G1204" s="75" t="n"/>
      <c r="H1204" s="28" t="n"/>
      <c r="J1204" s="269" t="n"/>
      <c r="K1204" s="270" t="n"/>
    </row>
    <row r="1205" ht="13" customHeight="1">
      <c r="B1205" s="75" t="n"/>
      <c r="E1205" s="75" t="n"/>
      <c r="G1205" s="75" t="n"/>
      <c r="H1205" s="28" t="n"/>
      <c r="J1205" s="269" t="n"/>
      <c r="K1205" s="270" t="n"/>
    </row>
    <row r="1206" ht="13" customHeight="1">
      <c r="B1206" s="75" t="n"/>
      <c r="E1206" s="75" t="n"/>
      <c r="G1206" s="75" t="n"/>
      <c r="H1206" s="28" t="n"/>
      <c r="J1206" s="269" t="n"/>
      <c r="K1206" s="270" t="n"/>
    </row>
    <row r="1207" ht="13" customHeight="1">
      <c r="B1207" s="75" t="n"/>
      <c r="E1207" s="75" t="n"/>
      <c r="G1207" s="75" t="n"/>
      <c r="H1207" s="28" t="n"/>
      <c r="J1207" s="269" t="n"/>
      <c r="K1207" s="270" t="n"/>
    </row>
    <row r="1208" ht="13" customHeight="1">
      <c r="B1208" s="75" t="n"/>
      <c r="E1208" s="75" t="n"/>
      <c r="G1208" s="75" t="n"/>
      <c r="H1208" s="28" t="n"/>
      <c r="J1208" s="269" t="n"/>
      <c r="K1208" s="270" t="n"/>
    </row>
    <row r="1209" ht="13" customHeight="1">
      <c r="B1209" s="75" t="n"/>
      <c r="E1209" s="75" t="n"/>
      <c r="G1209" s="75" t="n"/>
      <c r="H1209" s="28" t="n"/>
      <c r="J1209" s="269" t="n"/>
      <c r="K1209" s="270" t="n"/>
    </row>
    <row r="1210" ht="13" customHeight="1">
      <c r="B1210" s="75" t="n"/>
      <c r="E1210" s="75" t="n"/>
      <c r="G1210" s="75" t="n"/>
      <c r="H1210" s="28" t="n"/>
      <c r="J1210" s="269" t="n"/>
      <c r="K1210" s="270" t="n"/>
    </row>
    <row r="1211" ht="13" customHeight="1">
      <c r="B1211" s="75" t="n"/>
      <c r="E1211" s="75" t="n"/>
      <c r="G1211" s="75" t="n"/>
      <c r="H1211" s="28" t="n"/>
      <c r="J1211" s="269" t="n"/>
      <c r="K1211" s="270" t="n"/>
    </row>
    <row r="1212" ht="13" customHeight="1">
      <c r="B1212" s="75" t="n"/>
      <c r="E1212" s="75" t="n"/>
      <c r="G1212" s="75" t="n"/>
      <c r="H1212" s="28" t="n"/>
      <c r="J1212" s="269" t="n"/>
      <c r="K1212" s="270" t="n"/>
    </row>
    <row r="1213" ht="13" customHeight="1">
      <c r="B1213" s="75" t="n"/>
      <c r="E1213" s="75" t="n"/>
      <c r="G1213" s="75" t="n"/>
      <c r="H1213" s="28" t="n"/>
      <c r="J1213" s="269" t="n"/>
      <c r="K1213" s="270" t="n"/>
    </row>
    <row r="1214" ht="13" customHeight="1">
      <c r="B1214" s="75" t="n"/>
      <c r="E1214" s="75" t="n"/>
      <c r="G1214" s="75" t="n"/>
      <c r="H1214" s="28" t="n"/>
      <c r="J1214" s="269" t="n"/>
      <c r="K1214" s="270" t="n"/>
    </row>
    <row r="1215" ht="13" customHeight="1">
      <c r="B1215" s="75" t="n"/>
      <c r="E1215" s="75" t="n"/>
      <c r="G1215" s="75" t="n"/>
      <c r="H1215" s="28" t="n"/>
      <c r="J1215" s="269" t="n"/>
      <c r="K1215" s="270" t="n"/>
    </row>
    <row r="1216" ht="13" customHeight="1">
      <c r="B1216" s="75" t="n"/>
      <c r="E1216" s="75" t="n"/>
      <c r="G1216" s="75" t="n"/>
      <c r="H1216" s="28" t="n"/>
      <c r="J1216" s="269" t="n"/>
      <c r="K1216" s="270" t="n"/>
    </row>
    <row r="1217" ht="13" customHeight="1">
      <c r="B1217" s="75" t="n"/>
      <c r="E1217" s="75" t="n"/>
      <c r="G1217" s="75" t="n"/>
      <c r="H1217" s="28" t="n"/>
      <c r="J1217" s="269" t="n"/>
      <c r="K1217" s="270" t="n"/>
    </row>
    <row r="1218" ht="13" customHeight="1">
      <c r="B1218" s="75" t="n"/>
      <c r="E1218" s="75" t="n"/>
      <c r="G1218" s="75" t="n"/>
      <c r="H1218" s="28" t="n"/>
      <c r="J1218" s="269" t="n"/>
      <c r="K1218" s="270" t="n"/>
    </row>
  </sheetData>
  <conditionalFormatting sqref="C1">
    <cfRule type="duplicateValues" priority="12" dxfId="0"/>
  </conditionalFormatting>
  <pageMargins left="0.7" right="0.7" top="0.75" bottom="0.75" header="0.3" footer="0.3"/>
  <pageSetup orientation="portrait" paperSize="9" horizontalDpi="1200" verticalDpi="12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M16"/>
  <sheetViews>
    <sheetView workbookViewId="0">
      <selection activeCell="C11" sqref="C11"/>
    </sheetView>
  </sheetViews>
  <sheetFormatPr baseColWidth="10" defaultColWidth="9.1640625" defaultRowHeight="15"/>
  <cols>
    <col width="9.1640625" customWidth="1" style="3" min="1" max="1"/>
    <col width="36.6640625" bestFit="1" customWidth="1" style="3" min="2" max="2"/>
    <col width="18.6640625" customWidth="1" style="3" min="3" max="3"/>
    <col width="9.1640625" customWidth="1" style="3" min="4" max="5"/>
    <col width="12.83203125" bestFit="1" customWidth="1" style="3" min="6" max="6"/>
    <col width="14.33203125" bestFit="1" customWidth="1" style="3" min="7" max="7"/>
    <col width="9.1640625" customWidth="1" style="3" min="8" max="8"/>
    <col width="12.1640625" customWidth="1" style="3" min="9" max="9"/>
    <col width="15.33203125" customWidth="1" style="3" min="10" max="10"/>
    <col width="9.1640625" customWidth="1" style="3" min="11" max="16384"/>
  </cols>
  <sheetData>
    <row r="2">
      <c r="B2" s="9" t="inlineStr">
        <is>
          <t>Merchant Legal Name</t>
        </is>
      </c>
      <c r="C2" s="10" t="n"/>
      <c r="F2" s="7" t="n"/>
      <c r="G2" s="7" t="n"/>
      <c r="H2" s="7" t="n"/>
      <c r="I2" s="7" t="n"/>
      <c r="J2" s="7" t="n"/>
      <c r="K2" s="7" t="n"/>
      <c r="L2" s="7" t="n"/>
    </row>
    <row r="3">
      <c r="B3" s="8" t="n"/>
      <c r="C3" s="20" t="n"/>
      <c r="E3" s="4" t="n"/>
      <c r="F3" s="1" t="n"/>
      <c r="G3" s="1" t="n"/>
      <c r="H3" s="1" t="n"/>
      <c r="I3" s="1" t="n"/>
      <c r="J3" s="1" t="n"/>
      <c r="K3" s="1" t="n"/>
      <c r="L3" s="1" t="n"/>
      <c r="M3" s="5" t="n"/>
    </row>
    <row r="4">
      <c r="A4" s="4" t="n"/>
      <c r="B4" s="11" t="inlineStr">
        <is>
          <t xml:space="preserve">ECB adjustment </t>
        </is>
      </c>
      <c r="C4" s="12" t="n">
        <v>0</v>
      </c>
      <c r="D4" s="5" t="n"/>
      <c r="E4" s="4" t="n"/>
      <c r="F4" s="2" t="n"/>
      <c r="G4" s="1" t="n"/>
      <c r="H4" s="1" t="n"/>
      <c r="I4" s="1" t="n"/>
      <c r="J4" s="2" t="n"/>
      <c r="K4" s="2" t="n"/>
      <c r="L4" s="1" t="n"/>
      <c r="M4" s="5" t="n"/>
    </row>
    <row r="5">
      <c r="A5" s="4" t="n"/>
      <c r="B5" s="13" t="inlineStr">
        <is>
          <t>Value Fee Eurozone</t>
        </is>
      </c>
      <c r="C5" s="272" t="n">
        <v>0</v>
      </c>
      <c r="D5" s="5" t="n"/>
      <c r="E5" s="4" t="n"/>
      <c r="F5" s="1" t="n"/>
      <c r="G5" s="1" t="n"/>
      <c r="H5" s="1" t="n"/>
      <c r="I5" s="1" t="n"/>
      <c r="J5" s="19" t="n"/>
      <c r="K5" s="19" t="n"/>
      <c r="L5" s="1" t="n"/>
      <c r="M5" s="5" t="n"/>
    </row>
    <row r="6">
      <c r="A6" s="4" t="n"/>
      <c r="B6" s="13" t="inlineStr">
        <is>
          <t>Value Fee Non-Eurozone</t>
        </is>
      </c>
      <c r="C6" s="21" t="n">
        <v>0</v>
      </c>
      <c r="D6" s="5" t="n"/>
      <c r="E6" s="4" t="n"/>
      <c r="F6" s="1" t="n"/>
      <c r="G6" s="1" t="n"/>
      <c r="H6" s="1" t="n"/>
      <c r="I6" s="1" t="n"/>
      <c r="J6" s="26" t="n"/>
      <c r="K6" s="26" t="n"/>
      <c r="L6" s="1" t="n"/>
      <c r="M6" s="5" t="n"/>
    </row>
    <row r="7">
      <c r="A7" s="4" t="n"/>
      <c r="B7" s="13" t="inlineStr">
        <is>
          <t>Success Fee</t>
        </is>
      </c>
      <c r="C7" s="273" t="n">
        <v>0</v>
      </c>
      <c r="D7" s="5" t="n"/>
      <c r="E7" s="4" t="n"/>
      <c r="F7" s="1" t="n"/>
      <c r="G7" s="1" t="n"/>
      <c r="H7" s="1" t="n"/>
      <c r="I7" s="1" t="n"/>
      <c r="J7" s="1" t="n"/>
      <c r="K7" s="1" t="n"/>
      <c r="L7" s="1" t="n"/>
      <c r="M7" s="5" t="n"/>
    </row>
    <row r="8">
      <c r="A8" s="4" t="n"/>
      <c r="B8" s="13" t="inlineStr">
        <is>
          <t xml:space="preserve">Failed Fee </t>
        </is>
      </c>
      <c r="C8" s="273" t="n">
        <v>0</v>
      </c>
      <c r="D8" s="5" t="n"/>
      <c r="E8" s="4" t="n"/>
      <c r="F8" s="1" t="n"/>
      <c r="G8" s="2" t="n"/>
      <c r="H8" s="2" t="n"/>
      <c r="I8" s="2" t="n"/>
      <c r="J8" s="1" t="n"/>
      <c r="K8" s="1" t="n"/>
      <c r="L8" s="1" t="n"/>
      <c r="M8" s="5" t="n"/>
    </row>
    <row r="9">
      <c r="A9" s="4" t="n"/>
      <c r="B9" s="13" t="inlineStr">
        <is>
          <t>Settlement Fee SEPA</t>
        </is>
      </c>
      <c r="C9" s="17" t="n">
        <v>0</v>
      </c>
      <c r="D9" s="5" t="n"/>
      <c r="E9" s="4" t="n"/>
      <c r="F9" s="1" t="n"/>
      <c r="G9" s="274" t="n"/>
      <c r="H9" s="275" t="n"/>
      <c r="I9" s="24" t="n"/>
      <c r="J9" s="1" t="n"/>
      <c r="K9" s="1" t="n"/>
      <c r="L9" s="1" t="n"/>
      <c r="M9" s="5" t="n"/>
    </row>
    <row r="10">
      <c r="A10" s="4" t="n"/>
      <c r="B10" s="13" t="inlineStr">
        <is>
          <t>Settlement Fee USDT</t>
        </is>
      </c>
      <c r="C10" s="17" t="n">
        <v>0</v>
      </c>
      <c r="D10" s="5" t="n"/>
      <c r="E10" s="4" t="n"/>
      <c r="F10" s="1" t="n"/>
      <c r="G10" s="274" t="n"/>
      <c r="H10" s="24" t="n"/>
      <c r="I10" s="24" t="n"/>
      <c r="J10" s="1" t="n"/>
      <c r="K10" s="1" t="n"/>
      <c r="L10" s="1" t="n"/>
      <c r="M10" s="5" t="n"/>
    </row>
    <row r="11">
      <c r="A11" s="4" t="n"/>
      <c r="B11" s="13" t="inlineStr">
        <is>
          <t>Chargeback Fee</t>
        </is>
      </c>
      <c r="C11" s="273" t="n">
        <v>0</v>
      </c>
      <c r="D11" s="5" t="n"/>
      <c r="E11" s="4" t="n"/>
      <c r="F11" s="1" t="n"/>
      <c r="G11" s="274" t="n"/>
      <c r="H11" s="275" t="n"/>
      <c r="I11" s="24" t="n"/>
      <c r="J11" s="1" t="n"/>
      <c r="K11" s="1" t="n"/>
      <c r="L11" s="1" t="n"/>
      <c r="M11" s="5" t="n"/>
    </row>
    <row r="12">
      <c r="A12" s="4" t="n"/>
      <c r="B12" s="14" t="inlineStr">
        <is>
          <t>Refund Fee</t>
        </is>
      </c>
      <c r="C12" s="27" t="n">
        <v>0</v>
      </c>
      <c r="D12" s="5" t="n"/>
      <c r="E12" s="4" t="n"/>
      <c r="F12" s="1" t="n"/>
      <c r="G12" s="25" t="n"/>
      <c r="H12" s="1" t="n"/>
      <c r="I12" s="1" t="n"/>
      <c r="J12" s="1" t="n"/>
      <c r="K12" s="1" t="n"/>
      <c r="L12" s="1" t="n"/>
      <c r="M12" s="5" t="n"/>
    </row>
    <row r="13">
      <c r="B13" s="8" t="n"/>
      <c r="C13" s="8" t="n"/>
      <c r="E13" s="4" t="n"/>
      <c r="F13" s="1" t="n"/>
      <c r="G13" s="1" t="n"/>
      <c r="H13" s="1" t="n"/>
      <c r="I13" s="1" t="n"/>
      <c r="J13" s="1" t="n"/>
      <c r="K13" s="1" t="n"/>
      <c r="L13" s="1" t="n"/>
      <c r="M13" s="5" t="n"/>
    </row>
    <row r="14">
      <c r="A14" s="4" t="n"/>
      <c r="B14" s="15" t="inlineStr">
        <is>
          <t xml:space="preserve">ROLLING RESERVE </t>
        </is>
      </c>
      <c r="C14" s="18" t="n">
        <v>0</v>
      </c>
      <c r="D14" s="5" t="n"/>
      <c r="E14" s="4" t="n"/>
      <c r="F14" s="1" t="n"/>
      <c r="G14" s="1" t="n"/>
      <c r="H14" s="1" t="n"/>
      <c r="I14" s="1" t="n"/>
      <c r="J14" s="1" t="n"/>
      <c r="K14" s="1" t="n"/>
      <c r="L14" s="1" t="n"/>
      <c r="M14" s="5" t="n"/>
    </row>
    <row r="15">
      <c r="B15" s="6" t="n"/>
      <c r="C15" s="6" t="n"/>
      <c r="E15" s="4" t="n"/>
      <c r="F15" s="1" t="n"/>
      <c r="G15" s="1" t="n"/>
      <c r="H15" s="1" t="n"/>
      <c r="I15" s="1" t="n"/>
      <c r="J15" s="1" t="n"/>
      <c r="K15" s="1" t="n"/>
      <c r="L15" s="1" t="n"/>
      <c r="M15" s="5" t="n"/>
    </row>
    <row r="16">
      <c r="E16" s="4" t="n"/>
      <c r="F16" s="1" t="n"/>
      <c r="G16" s="1" t="n"/>
      <c r="H16" s="1" t="n"/>
      <c r="I16" s="1" t="n"/>
      <c r="J16" s="1" t="n"/>
      <c r="K16" s="1" t="n"/>
      <c r="L16" s="1" t="n"/>
      <c r="M16" s="5" t="n"/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2025-10-15T11:19:03Z</dcterms:created>
  <dcterms:modified xmlns:dcterms="http://purl.org/dc/terms/" xmlns:xsi="http://www.w3.org/2001/XMLSchema-instance" xsi:type="dcterms:W3CDTF">2026-05-30T15:22:44Z</dcterms:modified>
</cp:coreProperties>
</file>